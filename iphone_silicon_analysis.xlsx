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 &amp; Legend" sheetId="1" state="visible" r:id="rId3"/>
    <sheet name="Master — Phone Silicon" sheetId="2" state="visible" r:id="rId4"/>
    <sheet name="Pre-5G Modems" sheetId="3" state="visible" r:id="rId5"/>
    <sheet name="5G Modems" sheetId="4" state="visible" r:id="rId6"/>
    <sheet name="SoC (Chip) Reference" sheetId="5" state="visible" r:id="rId7"/>
    <sheet name="Modem Reference" sheetId="6" state="visible" r:id="rId8"/>
    <sheet name="Connector Timeline" sheetId="7" state="visible" r:id="rId9"/>
    <sheet name="Modem Supplier History" sheetId="8" state="visible" r:id="rId10"/>
    <sheet name="Markets &amp; Regions" sheetId="9" state="visible" r:id="rId11"/>
    <sheet name="Phone × Region (5G)" sheetId="10" state="visible" r:id="rId12"/>
    <sheet name="Analysi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<sst xmlns="http://schemas.openxmlformats.org/spreadsheetml/2006/main" count="1426" uniqueCount="570">
  <si>
    <t xml:space="preserve">iPhone Silicon &amp; Connectivity — Detailed Analysis Workbook</t>
  </si>
  <si>
    <t xml:space="preserve">Compiled May 2026. Covers modems, application processors (SoC), connectors, cellular generation, satellite, mmWave, SIM, and regional variation across every iPhone (2007–present) plus reported/expected 2026 models.</t>
  </si>
  <si>
    <t xml:space="preserve">Sheets in this workbook</t>
  </si>
  <si>
    <t xml:space="preserve">Master — Phone Silicon : one row per iPhone model/variant; the denormalised master table (best for PivotTables).</t>
  </si>
  <si>
    <t xml:space="preserve">Pre-5G Modems : iPhone × chip × modem × connector × process node (2007–2019 + LTE SE models).</t>
  </si>
  <si>
    <t xml:space="preserve">5G Modems : iPhone × modem × supplier × sub-6 × mmWave × satellite × process × notable × chip × SIM × notes (2020–present).</t>
  </si>
  <si>
    <t xml:space="preserve">SoC (Chip) Reference : each Apple/Samsung application processor, fab node, and which iPhones used it.</t>
  </si>
  <si>
    <t xml:space="preserve">Modem Reference : each baseband modem, supplier, fab node, peak speed, capabilities.</t>
  </si>
  <si>
    <t xml:space="preserve">Connector Timeline : 30-pin / Lightning / USB-C eras and the regulatory driver.</t>
  </si>
  <si>
    <t xml:space="preserve">Modem Supplier History : Infineon → Qualcomm → Intel → Qualcomm → Apple, with key legal/business events.</t>
  </si>
  <si>
    <t xml:space="preserve">Markets &amp; Regions : SIM config, mmWave hardware, and satellite availability by country/market (current generation).</t>
  </si>
  <si>
    <t xml:space="preserve">Phone × Region (5G) : crossed detail — how SIM/mmWave/satellite differ per region for each recent model.</t>
  </si>
  <si>
    <t xml:space="preserve">Analysis : summary formulas (counts by supplier, connector, generation) over the Master sheet.</t>
  </si>
  <si>
    <t xml:space="preserve">Legend</t>
  </si>
  <si>
    <t xml:space="preserve">Yes / No / —  :  capability supported / absent / not applicable to that generation.</t>
  </si>
  <si>
    <t xml:space="preserve">n/d  :  not disclosed or not reliably documented (left blank rather than guessed).</t>
  </si>
  <si>
    <t xml:space="preserve">~  :  approximate or commonly-cited figure (older modem fab nodes and theoretical peak speeds).</t>
  </si>
  <si>
    <t xml:space="preserve">(expected) / (rumored)  :  unconfirmed; applies to the iPhone 18 Pro, A20 Pro, and Apple C2 rows.</t>
  </si>
  <si>
    <t xml:space="preserve">Peak speeds are theoretical modem maximums (LTE category / 5G), not real-world throughput.</t>
  </si>
  <si>
    <t xml:space="preserve">Key caveats</t>
  </si>
  <si>
    <t xml:space="preserve">mmWave 5G is US-market only — it has shipped only in US models across every Qualcomm 5G generation, and Apple's own C1/C1X modems omit it entirely (sub-6 only).</t>
  </si>
  <si>
    <t xml:space="preserve">Satellite is software-gated by region on otherwise-identical hardware. Disabled on units purchased in mainland China, Russia, Belarus, Armenia, Kazakhstan, and Kyrgyzstan; the restriction follows the device.</t>
  </si>
  <si>
    <t xml:space="preserve">SIM configuration evolved: nano-SIM standard since iPhone 5 (2012); eSIM added with iPhone XS/XR (2018); US went eSIM-only with iPhone 14 (2022); eSIM-only expanded to more markets by iPhone 17; the iPhone Air is eSIM-only worldwide.</t>
  </si>
  <si>
    <t xml:space="preserve">Process-node names (7nm, 5nm, 3nm, etc.) are marketing labels and do not correspond to a physical transistor dimension.</t>
  </si>
  <si>
    <t xml:space="preserve">The 2016–2017 iPhone 7 and 8/X used different modems by carrier variant (Qualcomm for CDMA, Intel for GSM); Apple reportedly capped the faster Qualcomm units to match Intel.</t>
  </si>
  <si>
    <t xml:space="preserve">The iPhone SE (2nd gen, 2020) modem and several older modem fab nodes are sparsely documented; cells reflect best available data.</t>
  </si>
  <si>
    <t xml:space="preserve">Selected sources</t>
  </si>
  <si>
    <t xml:space="preserve">Apple Newsroom &amp; Apple Support (product specs, satellite availability, eSIM); iFixit and TechInsights teardowns (modem identification, process nodes); MacRumors, AppleInsider, Mobile Internet Resource Center (modem coverage); Wikipedia &amp; The iPhone Wiki (model specifications). Figures cross-checked across multiple sources where possible.</t>
  </si>
  <si>
    <t xml:space="preserve">Master — Phone Silicon (one row per model)</t>
  </si>
  <si>
    <t xml:space="preserve">Denormalised reference. *Peak download = theoretical modem maximum. Rows shaded by modem supplier.</t>
  </si>
  <si>
    <t xml:space="preserve">iPhone (model)</t>
  </si>
  <si>
    <t xml:space="preserve">Year</t>
  </si>
  <si>
    <t xml:space="preserve">Chip (SoC)</t>
  </si>
  <si>
    <t xml:space="preserve">SoC process</t>
  </si>
  <si>
    <t xml:space="preserve">SoC notable</t>
  </si>
  <si>
    <t xml:space="preserve">Modem</t>
  </si>
  <si>
    <t xml:space="preserve">Supplier</t>
  </si>
  <si>
    <t xml:space="preserve">Modem process</t>
  </si>
  <si>
    <t xml:space="preserve">Peak cellular</t>
  </si>
  <si>
    <t xml:space="preserve">Peak download*</t>
  </si>
  <si>
    <t xml:space="preserve">Connector</t>
  </si>
  <si>
    <t xml:space="preserve">Notable</t>
  </si>
  <si>
    <t xml:space="preserve">iPhone (original)</t>
  </si>
  <si>
    <t xml:space="preserve">2007</t>
  </si>
  <si>
    <t xml:space="preserve">Samsung S5L8900 (ARM11)</t>
  </si>
  <si>
    <t xml:space="preserve">90 nm</t>
  </si>
  <si>
    <t xml:space="preserve">First iPhone SoC</t>
  </si>
  <si>
    <t xml:space="preserve">Infineon S-Gold 2 (PMB8876)</t>
  </si>
  <si>
    <t xml:space="preserve">Infineon</t>
  </si>
  <si>
    <t xml:space="preserve">n/d</t>
  </si>
  <si>
    <t xml:space="preserve">2G (EDGE)</t>
  </si>
  <si>
    <t xml:space="preserve">~0.2 Mbps</t>
  </si>
  <si>
    <t xml:space="preserve">30-pin</t>
  </si>
  <si>
    <t xml:space="preserve">EDGE only; no 3G</t>
  </si>
  <si>
    <t xml:space="preserve">iPhone 3G</t>
  </si>
  <si>
    <t xml:space="preserve">2008</t>
  </si>
  <si>
    <t xml:space="preserve">Infineon X-Gold 608 (PMB8878)</t>
  </si>
  <si>
    <t xml:space="preserve">3G (UMTS/HSDPA)</t>
  </si>
  <si>
    <t xml:space="preserve">~3.6 Mbps</t>
  </si>
  <si>
    <t xml:space="preserve">Added 3G + GPS</t>
  </si>
  <si>
    <t xml:space="preserve">iPhone 3GS</t>
  </si>
  <si>
    <t xml:space="preserve">2009</t>
  </si>
  <si>
    <t xml:space="preserve">Samsung S5PC100 (Cortex-A8)</t>
  </si>
  <si>
    <t xml:space="preserve">65 nm</t>
  </si>
  <si>
    <t xml:space="preserve">Infineon X-Gold 608</t>
  </si>
  <si>
    <t xml:space="preserve">3G (HSDPA)</t>
  </si>
  <si>
    <t xml:space="preserve">~7.2 Mbps</t>
  </si>
  <si>
    <t xml:space="preserve">iPhone 4</t>
  </si>
  <si>
    <t xml:space="preserve">2010</t>
  </si>
  <si>
    <t xml:space="preserve">Apple A4</t>
  </si>
  <si>
    <t xml:space="preserve">45 nm</t>
  </si>
  <si>
    <t xml:space="preserve">First Apple-designed SoC</t>
  </si>
  <si>
    <t xml:space="preserve">Infineon X-Gold 618 / Qualcomm MDM6600 (CDMA)</t>
  </si>
  <si>
    <t xml:space="preserve">Infineon / Qualcomm</t>
  </si>
  <si>
    <t xml:space="preserve">n/d / 45 nm</t>
  </si>
  <si>
    <t xml:space="preserve">3G (HSPA / EV-DO)</t>
  </si>
  <si>
    <t xml:space="preserve">First Retina display; separate GSM &amp; CDMA models</t>
  </si>
  <si>
    <t xml:space="preserve">iPhone 4S</t>
  </si>
  <si>
    <t xml:space="preserve">2011</t>
  </si>
  <si>
    <t xml:space="preserve">Apple A5</t>
  </si>
  <si>
    <t xml:space="preserve">Qualcomm MDM6610</t>
  </si>
  <si>
    <t xml:space="preserve">Qualcomm</t>
  </si>
  <si>
    <t xml:space="preserve">~45 nm</t>
  </si>
  <si>
    <t xml:space="preserve">3G (HSPA+ / DC-HSDPA)</t>
  </si>
  <si>
    <t xml:space="preserve">~14.4 Mbps</t>
  </si>
  <si>
    <t xml:space="preserve">First Qualcomm across the board; last 30-pin; first 'world phone'</t>
  </si>
  <si>
    <t xml:space="preserve">iPhone 5</t>
  </si>
  <si>
    <t xml:space="preserve">2012</t>
  </si>
  <si>
    <t xml:space="preserve">Apple A6</t>
  </si>
  <si>
    <t xml:space="preserve">32 nm</t>
  </si>
  <si>
    <t xml:space="preserve">First Apple custom CPU core (Swift)</t>
  </si>
  <si>
    <t xml:space="preserve">Qualcomm MDM9615M</t>
  </si>
  <si>
    <t xml:space="preserve">28 nm</t>
  </si>
  <si>
    <t xml:space="preserve">4G LTE (Cat 3)</t>
  </si>
  <si>
    <t xml:space="preserve">100 Mbps</t>
  </si>
  <si>
    <t xml:space="preserve">Lightning</t>
  </si>
  <si>
    <t xml:space="preserve">First LTE iPhone; first Lightning; nano-SIM debut</t>
  </si>
  <si>
    <t xml:space="preserve">iPhone 5c</t>
  </si>
  <si>
    <t xml:space="preserve">2013</t>
  </si>
  <si>
    <t xml:space="preserve">Qualcomm MDM9615</t>
  </si>
  <si>
    <t xml:space="preserve">4G LTE (Cat 4)</t>
  </si>
  <si>
    <t xml:space="preserve">150 Mbps</t>
  </si>
  <si>
    <t xml:space="preserve">iPhone 5s</t>
  </si>
  <si>
    <t xml:space="preserve">Apple A7</t>
  </si>
  <si>
    <t xml:space="preserve">First 64-bit smartphone SoC; Secure Enclave</t>
  </si>
  <si>
    <t xml:space="preserve">Touch ID debut</t>
  </si>
  <si>
    <t xml:space="preserve">iPhone 6 / 6 Plus</t>
  </si>
  <si>
    <t xml:space="preserve">2014</t>
  </si>
  <si>
    <t xml:space="preserve">Apple A8</t>
  </si>
  <si>
    <t xml:space="preserve">20 nm</t>
  </si>
  <si>
    <t xml:space="preserve">Qualcomm MDM9625</t>
  </si>
  <si>
    <t xml:space="preserve">Apple Pay / NFC debut</t>
  </si>
  <si>
    <t xml:space="preserve">iPhone 6s / 6s Plus</t>
  </si>
  <si>
    <t xml:space="preserve">2015</t>
  </si>
  <si>
    <t xml:space="preserve">Apple A9</t>
  </si>
  <si>
    <t xml:space="preserve">16 nm (TSMC) / 14 nm (Samsung)</t>
  </si>
  <si>
    <t xml:space="preserve">Dual-sourced fab</t>
  </si>
  <si>
    <t xml:space="preserve">Qualcomm MDM9635</t>
  </si>
  <si>
    <t xml:space="preserve">~20 nm</t>
  </si>
  <si>
    <t xml:space="preserve">LTE-Advanced (Cat 6)</t>
  </si>
  <si>
    <t xml:space="preserve">300 Mbps</t>
  </si>
  <si>
    <t xml:space="preserve">3D Touch</t>
  </si>
  <si>
    <t xml:space="preserve">iPhone SE (1st gen)</t>
  </si>
  <si>
    <t xml:space="preserve">2016</t>
  </si>
  <si>
    <t xml:space="preserve">16 / 14 nm</t>
  </si>
  <si>
    <t xml:space="preserve">4-inch; A9 of the 6s</t>
  </si>
  <si>
    <t xml:space="preserve">iPhone 7 / 7 Plus</t>
  </si>
  <si>
    <t xml:space="preserve">Apple A10 Fusion</t>
  </si>
  <si>
    <t xml:space="preserve">16 nm</t>
  </si>
  <si>
    <t xml:space="preserve">First big.LITTLE (Fusion) design</t>
  </si>
  <si>
    <t xml:space="preserve">Qualcomm MDM9645 / Intel XMM7360 (GSM)</t>
  </si>
  <si>
    <t xml:space="preserve">Qualcomm / Intel</t>
  </si>
  <si>
    <t xml:space="preserve">~28 nm</t>
  </si>
  <si>
    <t xml:space="preserve">LTE-Advanced (Cat 9/12)</t>
  </si>
  <si>
    <t xml:space="preserve">~450 Mbps</t>
  </si>
  <si>
    <t xml:space="preserve">Intel modem debut; dual-source; no headphone jack; FeliCa (Japan)</t>
  </si>
  <si>
    <t xml:space="preserve">iPhone 8 / 8 Plus / X</t>
  </si>
  <si>
    <t xml:space="preserve">2017</t>
  </si>
  <si>
    <t xml:space="preserve">Apple A11 Bionic</t>
  </si>
  <si>
    <t xml:space="preserve">10 nm</t>
  </si>
  <si>
    <t xml:space="preserve">First Apple Neural Engine</t>
  </si>
  <si>
    <t xml:space="preserve">Qualcomm MDM9655 / Intel XMM7480 (GSM)</t>
  </si>
  <si>
    <t xml:space="preserve">14 nm</t>
  </si>
  <si>
    <t xml:space="preserve">Gigabit LTE (Cat 16)</t>
  </si>
  <si>
    <t xml:space="preserve">~1 Gbps</t>
  </si>
  <si>
    <t xml:space="preserve">iPhone X: Face ID, no home button; FeliCa global</t>
  </si>
  <si>
    <t xml:space="preserve">iPhone XS / XS Max / XR</t>
  </si>
  <si>
    <t xml:space="preserve">2018</t>
  </si>
  <si>
    <t xml:space="preserve">Apple A12 Bionic</t>
  </si>
  <si>
    <t xml:space="preserve">7 nm</t>
  </si>
  <si>
    <t xml:space="preserve">First 7 nm SoC</t>
  </si>
  <si>
    <t xml:space="preserve">Intel XMM7560 (PMB9955)</t>
  </si>
  <si>
    <t xml:space="preserve">Intel</t>
  </si>
  <si>
    <t xml:space="preserve">Intel-only year; eSIM debut (dual-SIM via eSIM)</t>
  </si>
  <si>
    <t xml:space="preserve">iPhone 11 / 11 Pro / Pro Max</t>
  </si>
  <si>
    <t xml:space="preserve">2019</t>
  </si>
  <si>
    <t xml:space="preserve">Apple A13 Bionic</t>
  </si>
  <si>
    <t xml:space="preserve">7 nm (N7P)</t>
  </si>
  <si>
    <t xml:space="preserve">Intel XMM7660 (PMB9960)</t>
  </si>
  <si>
    <t xml:space="preserve">Gigabit LTE (Cat 19)</t>
  </si>
  <si>
    <t xml:space="preserve">~1.6 Gbps</t>
  </si>
  <si>
    <t xml:space="preserve">Last Intel modem; U1 ultra-wideband debut</t>
  </si>
  <si>
    <t xml:space="preserve">iPhone SE (2nd gen)</t>
  </si>
  <si>
    <t xml:space="preserve">2020</t>
  </si>
  <si>
    <t xml:space="preserve">Qualcomm (LTE)</t>
  </si>
  <si>
    <t xml:space="preserve">Gigabit LTE</t>
  </si>
  <si>
    <t xml:space="preserve">4.7-inch; A13 of the 11; exact modem undocumented</t>
  </si>
  <si>
    <t xml:space="preserve">iPhone 12 / mini / Pro / Pro Max</t>
  </si>
  <si>
    <t xml:space="preserve">Apple A14 Bionic</t>
  </si>
  <si>
    <t xml:space="preserve">5 nm</t>
  </si>
  <si>
    <t xml:space="preserve">First 5 nm SoC</t>
  </si>
  <si>
    <t xml:space="preserve">Qualcomm Snapdragon X55</t>
  </si>
  <si>
    <t xml:space="preserve">5G (sub-6 + mmWave US)</t>
  </si>
  <si>
    <t xml:space="preserve">up to 7.5 Gbps</t>
  </si>
  <si>
    <t xml:space="preserve">First 5G iPhone; MagSafe</t>
  </si>
  <si>
    <t xml:space="preserve">iPhone 13 / mini / Pro / Pro Max</t>
  </si>
  <si>
    <t xml:space="preserve">2021</t>
  </si>
  <si>
    <t xml:space="preserve">Apple A15 Bionic</t>
  </si>
  <si>
    <t xml:space="preserve">5 nm (N5P)</t>
  </si>
  <si>
    <t xml:space="preserve">Qualcomm Snapdragon X60</t>
  </si>
  <si>
    <t xml:space="preserve">Simultaneous mmWave + sub-6 aggregation</t>
  </si>
  <si>
    <t xml:space="preserve">iPhone SE (3rd gen)</t>
  </si>
  <si>
    <t xml:space="preserve">2022</t>
  </si>
  <si>
    <t xml:space="preserve">Qualcomm Snapdragon X57</t>
  </si>
  <si>
    <t xml:space="preserve">5G (sub-6)</t>
  </si>
  <si>
    <t xml:space="preserve">First 5G SE; A15 of the 13</t>
  </si>
  <si>
    <t xml:space="preserve">iPhone 14 / 14 Plus</t>
  </si>
  <si>
    <t xml:space="preserve">Non-Pro reused prior-year A15</t>
  </si>
  <si>
    <t xml:space="preserve">Qualcomm Snapdragon X65</t>
  </si>
  <si>
    <t xml:space="preserve">4 nm</t>
  </si>
  <si>
    <t xml:space="preserve">up to 10 Gbps</t>
  </si>
  <si>
    <t xml:space="preserve">Emergency SOS via satellite debut; US eSIM-only begins</t>
  </si>
  <si>
    <t xml:space="preserve">iPhone 14 Pro / Pro Max</t>
  </si>
  <si>
    <t xml:space="preserve">Apple A16 Bionic</t>
  </si>
  <si>
    <t xml:space="preserve">4 nm (N4P)</t>
  </si>
  <si>
    <t xml:space="preserve">Dynamic Island; last Lightning Pro</t>
  </si>
  <si>
    <t xml:space="preserve">iPhone 15 / 15 Plus</t>
  </si>
  <si>
    <t xml:space="preserve">2023</t>
  </si>
  <si>
    <t xml:space="preserve">Non-Pro reused A16</t>
  </si>
  <si>
    <t xml:space="preserve">Qualcomm Snapdragon X70</t>
  </si>
  <si>
    <t xml:space="preserve">USB-C</t>
  </si>
  <si>
    <t xml:space="preserve">USB-C debut (EU Common Charger directive)</t>
  </si>
  <si>
    <t xml:space="preserve">iPhone 15 Pro / Pro Max</t>
  </si>
  <si>
    <t xml:space="preserve">Apple A17 Pro</t>
  </si>
  <si>
    <t xml:space="preserve">3 nm (N3B)</t>
  </si>
  <si>
    <t xml:space="preserve">First 3 nm SoC</t>
  </si>
  <si>
    <t xml:space="preserve">Titanium; Action button; USB 3</t>
  </si>
  <si>
    <t xml:space="preserve">iPhone 16 / 16 Plus</t>
  </si>
  <si>
    <t xml:space="preserve">2024</t>
  </si>
  <si>
    <t xml:space="preserve">Apple A18</t>
  </si>
  <si>
    <t xml:space="preserve">3 nm (N3E)</t>
  </si>
  <si>
    <t xml:space="preserve">Qualcomm SDX71M</t>
  </si>
  <si>
    <t xml:space="preserve">Camera Control button</t>
  </si>
  <si>
    <t xml:space="preserve">iPhone 16 Pro / Pro Max</t>
  </si>
  <si>
    <t xml:space="preserve">Apple A18 Pro</t>
  </si>
  <si>
    <t xml:space="preserve">iPhone 16e</t>
  </si>
  <si>
    <t xml:space="preserve">2025 (Feb)</t>
  </si>
  <si>
    <t xml:space="preserve">Apple C1</t>
  </si>
  <si>
    <t xml:space="preserve">Apple</t>
  </si>
  <si>
    <t xml:space="preserve">4 nm baseband / 7 nm transceiver</t>
  </si>
  <si>
    <t xml:space="preserve">5G (sub-6 only)</t>
  </si>
  <si>
    <t xml:space="preserve">First Apple-designed modem; no mmWave; most efficient iPhone modem</t>
  </si>
  <si>
    <t xml:space="preserve">iPhone Air</t>
  </si>
  <si>
    <t xml:space="preserve">2025 (Sep)</t>
  </si>
  <si>
    <t xml:space="preserve">Apple A19 Pro</t>
  </si>
  <si>
    <t xml:space="preserve">3 nm (N3P)</t>
  </si>
  <si>
    <t xml:space="preserve">Apple C1X</t>
  </si>
  <si>
    <t xml:space="preserve">n/d (4 nm baseband)</t>
  </si>
  <si>
    <t xml:space="preserve">~2x C1</t>
  </si>
  <si>
    <t xml:space="preserve">Thinnest iPhone (5.6 mm); eSIM-only worldwide</t>
  </si>
  <si>
    <t xml:space="preserve">iPhone 17</t>
  </si>
  <si>
    <t xml:space="preserve">Apple A19</t>
  </si>
  <si>
    <t xml:space="preserve">Qualcomm Snapdragon X80</t>
  </si>
  <si>
    <t xml:space="preserve">iPhone 17 Pro / Pro Max</t>
  </si>
  <si>
    <t xml:space="preserve">Kept Qualcomm for mmWave + satellite</t>
  </si>
  <si>
    <t xml:space="preserve">iPhone 17e</t>
  </si>
  <si>
    <t xml:space="preserve">2026</t>
  </si>
  <si>
    <t xml:space="preserve">Same modem as iPhone Air</t>
  </si>
  <si>
    <t xml:space="preserve">iPhone 18 Pro (expected)</t>
  </si>
  <si>
    <t xml:space="preserve">2026 (Sep, exp.)</t>
  </si>
  <si>
    <t xml:space="preserve">Apple A20 Pro (rumored)</t>
  </si>
  <si>
    <t xml:space="preserve">2 nm (rumored)</t>
  </si>
  <si>
    <t xml:space="preserve">Expected</t>
  </si>
  <si>
    <t xml:space="preserve">Apple C2 (expected)</t>
  </si>
  <si>
    <t xml:space="preserve">5G (mmWave expected)</t>
  </si>
  <si>
    <t xml:space="preserve">Expected: mmWave + satellite internet (NR-NTN)</t>
  </si>
  <si>
    <t xml:space="preserve">Pre-5G modems (2007–2020)</t>
  </si>
  <si>
    <t xml:space="preserve">iPhone (year) × chip × modem × connector × process node. Process columns shown for both SoC and modem; older modem nodes are sparsely documented (n/d).</t>
  </si>
  <si>
    <t xml:space="preserve">iPhone (year)</t>
  </si>
  <si>
    <t xml:space="preserve">Peak network</t>
  </si>
  <si>
    <t xml:space="preserve">iPhone (2007)</t>
  </si>
  <si>
    <t xml:space="preserve">iPhone 3G (2008)</t>
  </si>
  <si>
    <t xml:space="preserve">iPhone 3GS (2009)</t>
  </si>
  <si>
    <t xml:space="preserve">iPhone 4 (2010)</t>
  </si>
  <si>
    <t xml:space="preserve">GSM and CDMA models</t>
  </si>
  <si>
    <t xml:space="preserve">iPhone 4S (2011)</t>
  </si>
  <si>
    <t xml:space="preserve">3G (HSPA+)</t>
  </si>
  <si>
    <t xml:space="preserve">First Qualcomm across the board; last 30-pin</t>
  </si>
  <si>
    <t xml:space="preserve">iPhone 5 (2012)</t>
  </si>
  <si>
    <t xml:space="preserve">First LTE; first Lightning; nano-SIM</t>
  </si>
  <si>
    <t xml:space="preserve">iPhone 5c (2013)</t>
  </si>
  <si>
    <t xml:space="preserve">iPhone 5s (2013)</t>
  </si>
  <si>
    <t xml:space="preserve">First 64-bit SoC</t>
  </si>
  <si>
    <t xml:space="preserve">iPhone 6 / 6 Plus (2014)</t>
  </si>
  <si>
    <t xml:space="preserve">Apple Pay / NFC</t>
  </si>
  <si>
    <t xml:space="preserve">iPhone 6s / 6s Plus (2015)</t>
  </si>
  <si>
    <t xml:space="preserve">iPhone SE 1st gen (2016)</t>
  </si>
  <si>
    <t xml:space="preserve">A9 of the 6s</t>
  </si>
  <si>
    <t xml:space="preserve">iPhone 7 / 7 Plus (2016)</t>
  </si>
  <si>
    <t xml:space="preserve">Qualcomm MDM9645 / Intel XMM7360</t>
  </si>
  <si>
    <t xml:space="preserve">Intel modem debut; dual-source</t>
  </si>
  <si>
    <t xml:space="preserve">iPhone 8 / 8 Plus / X (2017)</t>
  </si>
  <si>
    <t xml:space="preserve">Qualcomm MDM9655 / Intel XMM7480</t>
  </si>
  <si>
    <t xml:space="preserve">First Neural Engine; Face ID (X)</t>
  </si>
  <si>
    <t xml:space="preserve">iPhone XS / Max / XR (2018)</t>
  </si>
  <si>
    <t xml:space="preserve">First 7 nm SoC; Intel-only; eSIM debut</t>
  </si>
  <si>
    <t xml:space="preserve">iPhone 11 / Pro / Max (2019)</t>
  </si>
  <si>
    <t xml:space="preserve">Last Intel modem; U1 UWB</t>
  </si>
  <si>
    <t xml:space="preserve">iPhone SE 2nd gen (2020)</t>
  </si>
  <si>
    <t xml:space="preserve">LTE-only; A13 of the 11</t>
  </si>
  <si>
    <t xml:space="preserve">5G modems (2020–present)</t>
  </si>
  <si>
    <t xml:space="preserve">iPhone (year) × modem × supplier × sub-6 × mmWave × satellite × process × notable × chip × SIM × notes.</t>
  </si>
  <si>
    <t xml:space="preserve">Sub-6 5G</t>
  </si>
  <si>
    <t xml:space="preserve">mmWave 5G</t>
  </si>
  <si>
    <t xml:space="preserve">Satellite</t>
  </si>
  <si>
    <t xml:space="preserve">SIM config (by market)</t>
  </si>
  <si>
    <t xml:space="preserve">Notes</t>
  </si>
  <si>
    <t xml:space="preserve">iPhone 12 (2020)</t>
  </si>
  <si>
    <t xml:space="preserve">Snapdragon X55</t>
  </si>
  <si>
    <t xml:space="preserve">Yes</t>
  </si>
  <si>
    <t xml:space="preserve">Yes (US)</t>
  </si>
  <si>
    <t xml:space="preserve">—</t>
  </si>
  <si>
    <t xml:space="preserve">First 5G iPhone</t>
  </si>
  <si>
    <t xml:space="preserve">A14 Bionic</t>
  </si>
  <si>
    <t xml:space="preserve">nano-SIM + eSIM (US: + dual-eSIM)</t>
  </si>
  <si>
    <t xml:space="preserve">Satellite not yet introduced</t>
  </si>
  <si>
    <t xml:space="preserve">iPhone 13 (2021)</t>
  </si>
  <si>
    <t xml:space="preserve">Snapdragon X60</t>
  </si>
  <si>
    <t xml:space="preserve">mmWave + sub-6 aggregation</t>
  </si>
  <si>
    <t xml:space="preserve">A15 Bionic</t>
  </si>
  <si>
    <t xml:space="preserve">nano-SIM + eSIM</t>
  </si>
  <si>
    <t xml:space="preserve">iPhone SE 3 (2022)</t>
  </si>
  <si>
    <t xml:space="preserve">Snapdragon X57</t>
  </si>
  <si>
    <t xml:space="preserve">No</t>
  </si>
  <si>
    <t xml:space="preserve">First 5G SE</t>
  </si>
  <si>
    <t xml:space="preserve">sub-6 only</t>
  </si>
  <si>
    <t xml:space="preserve">iPhone 14 (2022)</t>
  </si>
  <si>
    <t xml:space="preserve">Snapdragon X65</t>
  </si>
  <si>
    <t xml:space="preserve">First Emergency SOS via satellite</t>
  </si>
  <si>
    <t xml:space="preserve">US: eSIM-only; intl: nano-SIM + eSIM</t>
  </si>
  <si>
    <t xml:space="preserve">US drops physical SIM tray</t>
  </si>
  <si>
    <t xml:space="preserve">iPhone 14 Pro (2022)</t>
  </si>
  <si>
    <t xml:space="preserve">Dynamic Island</t>
  </si>
  <si>
    <t xml:space="preserve">A16 Bionic</t>
  </si>
  <si>
    <t xml:space="preserve">Last Lightning Pro</t>
  </si>
  <si>
    <t xml:space="preserve">iPhone 15 (2023)</t>
  </si>
  <si>
    <t xml:space="preserve">Snapdragon X70</t>
  </si>
  <si>
    <t xml:space="preserve">AI-assisted signal processing</t>
  </si>
  <si>
    <t xml:space="preserve">USB-C debut (EU mandate)</t>
  </si>
  <si>
    <t xml:space="preserve">iPhone 15 Pro (2023)</t>
  </si>
  <si>
    <t xml:space="preserve">First 3 nm SoC; USB 3</t>
  </si>
  <si>
    <t xml:space="preserve">A17 Pro</t>
  </si>
  <si>
    <t xml:space="preserve">3 nm</t>
  </si>
  <si>
    <t xml:space="preserve">Titanium</t>
  </si>
  <si>
    <t xml:space="preserve">iPhone 16 (2024)</t>
  </si>
  <si>
    <t xml:space="preserve">SDX71M</t>
  </si>
  <si>
    <t xml:space="preserve">Semi-custom Qualcomm part</t>
  </si>
  <si>
    <t xml:space="preserve">A18</t>
  </si>
  <si>
    <t xml:space="preserve">Camera Control</t>
  </si>
  <si>
    <t xml:space="preserve">iPhone 16 Pro (2024)</t>
  </si>
  <si>
    <t xml:space="preserve">A18 Pro</t>
  </si>
  <si>
    <t xml:space="preserve">iPhone 16e (2025)</t>
  </si>
  <si>
    <t xml:space="preserve">4 nm bb / 7 nm xcvr</t>
  </si>
  <si>
    <t xml:space="preserve">First Apple modem; most efficient</t>
  </si>
  <si>
    <t xml:space="preserve">No mmWave</t>
  </si>
  <si>
    <t xml:space="preserve">iPhone Air (2025)</t>
  </si>
  <si>
    <t xml:space="preserve">~2x C1; 30% &lt; energy vs 16 Pro modem</t>
  </si>
  <si>
    <t xml:space="preserve">A19 Pro</t>
  </si>
  <si>
    <t xml:space="preserve">eSIM-only worldwide</t>
  </si>
  <si>
    <t xml:space="preserve">Thinnest iPhone; first global eSIM-only</t>
  </si>
  <si>
    <t xml:space="preserve">iPhone 17 (2025)</t>
  </si>
  <si>
    <t xml:space="preserve">Snapdragon X80</t>
  </si>
  <si>
    <t xml:space="preserve">6x carrier aggregation; 5G Advanced</t>
  </si>
  <si>
    <t xml:space="preserve">A19</t>
  </si>
  <si>
    <t xml:space="preserve">eSIM-only in more markets; intl: nano-SIM + eSIM</t>
  </si>
  <si>
    <t xml:space="preserve">iPhone 17 Pro (2025)</t>
  </si>
  <si>
    <t xml:space="preserve">Kept Qualcomm for mmWave</t>
  </si>
  <si>
    <t xml:space="preserve">Release 18 modem</t>
  </si>
  <si>
    <t xml:space="preserve">iPhone 17e (2026)</t>
  </si>
  <si>
    <t xml:space="preserve">Same modem as Air</t>
  </si>
  <si>
    <t xml:space="preserve">iPhone 18 Pro (exp. 2026)</t>
  </si>
  <si>
    <t xml:space="preserve">Yes (expected)</t>
  </si>
  <si>
    <t xml:space="preserve">Yes (NR-NTN exp.)</t>
  </si>
  <si>
    <t xml:space="preserve">Expected to match Qualcomm</t>
  </si>
  <si>
    <t xml:space="preserve">A20 Pro (rumored)</t>
  </si>
  <si>
    <t xml:space="preserve">expected eSIM-only in more markets</t>
  </si>
  <si>
    <t xml:space="preserve">Expected satellite internet</t>
  </si>
  <si>
    <t xml:space="preserve">Application processor (SoC) reference</t>
  </si>
  <si>
    <t xml:space="preserve">Apple's A-series and predecessor Samsung chips. Process-node names are marketing labels.</t>
  </si>
  <si>
    <t xml:space="preserve">First iPhone</t>
  </si>
  <si>
    <t xml:space="preserve">Process node</t>
  </si>
  <si>
    <t xml:space="preserve">iPhones using it</t>
  </si>
  <si>
    <t xml:space="preserve">First iPhone SoC, 412 MHz</t>
  </si>
  <si>
    <t xml:space="preserve">original, 3G</t>
  </si>
  <si>
    <t xml:space="preserve">3GS</t>
  </si>
  <si>
    <t xml:space="preserve">iPhone 4 (and iPad 1)</t>
  </si>
  <si>
    <t xml:space="preserve">4S</t>
  </si>
  <si>
    <t xml:space="preserve">5, 5c</t>
  </si>
  <si>
    <t xml:space="preserve">5s</t>
  </si>
  <si>
    <t xml:space="preserve">iPhone 6</t>
  </si>
  <si>
    <t xml:space="preserve">6, 6 Plus</t>
  </si>
  <si>
    <t xml:space="preserve">iPhone 6s</t>
  </si>
  <si>
    <t xml:space="preserve">Dual-sourced fabrication</t>
  </si>
  <si>
    <t xml:space="preserve">6s, 6s Plus, SE (1st gen)</t>
  </si>
  <si>
    <t xml:space="preserve">iPhone 7</t>
  </si>
  <si>
    <t xml:space="preserve">First big.LITTLE (Fusion) cores</t>
  </si>
  <si>
    <t xml:space="preserve">7, 7 Plus</t>
  </si>
  <si>
    <t xml:space="preserve">iPhone 8 / X</t>
  </si>
  <si>
    <t xml:space="preserve">8, 8 Plus, X</t>
  </si>
  <si>
    <t xml:space="preserve">iPhone XS</t>
  </si>
  <si>
    <t xml:space="preserve">First 7 nm mobile SoC</t>
  </si>
  <si>
    <t xml:space="preserve">XS, XS Max, XR</t>
  </si>
  <si>
    <t xml:space="preserve">iPhone 11</t>
  </si>
  <si>
    <t xml:space="preserve">11, 11 Pro, 11 Pro Max, SE (2nd gen)</t>
  </si>
  <si>
    <t xml:space="preserve">iPhone 12</t>
  </si>
  <si>
    <t xml:space="preserve">First 5 nm mobile SoC</t>
  </si>
  <si>
    <t xml:space="preserve">12, 12 mini, 12 Pro, 12 Pro Max</t>
  </si>
  <si>
    <t xml:space="preserve">iPhone 13</t>
  </si>
  <si>
    <t xml:space="preserve">13 line, SE (3rd gen), 14, 14 Plus</t>
  </si>
  <si>
    <t xml:space="preserve">iPhone 14 Pro</t>
  </si>
  <si>
    <t xml:space="preserve">14 Pro/Max, 15, 15 Plus</t>
  </si>
  <si>
    <t xml:space="preserve">iPhone 15 Pro</t>
  </si>
  <si>
    <t xml:space="preserve">First 3 nm mobile SoC</t>
  </si>
  <si>
    <t xml:space="preserve">15 Pro, 15 Pro Max</t>
  </si>
  <si>
    <t xml:space="preserve">iPhone 16</t>
  </si>
  <si>
    <t xml:space="preserve">16, 16 Plus, 16e</t>
  </si>
  <si>
    <t xml:space="preserve">iPhone 16 Pro</t>
  </si>
  <si>
    <t xml:space="preserve">16 Pro, 16 Pro Max</t>
  </si>
  <si>
    <t xml:space="preserve">2025</t>
  </si>
  <si>
    <t xml:space="preserve">17, 17e</t>
  </si>
  <si>
    <t xml:space="preserve">Air, 17 Pro, 17 Pro Max</t>
  </si>
  <si>
    <t xml:space="preserve">Unconfirmed</t>
  </si>
  <si>
    <t xml:space="preserve">18 Pro (expected)</t>
  </si>
  <si>
    <t xml:space="preserve">Baseband modem reference</t>
  </si>
  <si>
    <t xml:space="preserve">*Theoretical maximum. mmWave has only ever shipped in US models.</t>
  </si>
  <si>
    <t xml:space="preserve">Process</t>
  </si>
  <si>
    <t xml:space="preserve">Cellular gen</t>
  </si>
  <si>
    <t xml:space="preserve">mmWave</t>
  </si>
  <si>
    <t xml:space="preserve">2G EDGE</t>
  </si>
  <si>
    <t xml:space="preserve">EDGE only</t>
  </si>
  <si>
    <t xml:space="preserve">3G HSDPA</t>
  </si>
  <si>
    <t xml:space="preserve">Infineon X-Gold 618 (PMB9800)</t>
  </si>
  <si>
    <t xml:space="preserve">3G HSPA</t>
  </si>
  <si>
    <t xml:space="preserve">iPhone 4 (GSM)</t>
  </si>
  <si>
    <t xml:space="preserve">Qualcomm MDM6600</t>
  </si>
  <si>
    <t xml:space="preserve">3G EV-DO</t>
  </si>
  <si>
    <t xml:space="preserve">~9.8 Mbps</t>
  </si>
  <si>
    <t xml:space="preserve">iPhone 4 (CDMA)</t>
  </si>
  <si>
    <t xml:space="preserve">CDMA variant</t>
  </si>
  <si>
    <t xml:space="preserve">3G HSPA+</t>
  </si>
  <si>
    <t xml:space="preserve">First 'world phone'</t>
  </si>
  <si>
    <t xml:space="preserve">Qualcomm MDM9615 / 9615M</t>
  </si>
  <si>
    <t xml:space="preserve">4G LTE (Cat 3-4)</t>
  </si>
  <si>
    <t xml:space="preserve">100–150 Mbps</t>
  </si>
  <si>
    <t xml:space="preserve">First LTE in an iPhone</t>
  </si>
  <si>
    <t xml:space="preserve">LTE-A (Cat 6)</t>
  </si>
  <si>
    <t xml:space="preserve">Qualcomm MDM9645</t>
  </si>
  <si>
    <t xml:space="preserve">LTE-A (Cat 9/12)</t>
  </si>
  <si>
    <t xml:space="preserve">iPhone 7 (CDMA)</t>
  </si>
  <si>
    <t xml:space="preserve">Intel XMM7360</t>
  </si>
  <si>
    <t xml:space="preserve">LTE-A (Cat 9)</t>
  </si>
  <si>
    <t xml:space="preserve">iPhone 7 (GSM)</t>
  </si>
  <si>
    <t xml:space="preserve">Intel's first iPhone modem</t>
  </si>
  <si>
    <t xml:space="preserve">Qualcomm MDM9655</t>
  </si>
  <si>
    <t xml:space="preserve">iPhone 8 (CDMA)</t>
  </si>
  <si>
    <t xml:space="preserve">Intel XMM7480</t>
  </si>
  <si>
    <t xml:space="preserve">iPhone 8 (GSM)</t>
  </si>
  <si>
    <t xml:space="preserve">Intel-only year</t>
  </si>
  <si>
    <t xml:space="preserve">Last Intel; 3GPP Release 14</t>
  </si>
  <si>
    <t xml:space="preserve">5G (sub-6 + mmWave)</t>
  </si>
  <si>
    <t xml:space="preserve">First 5G in an iPhone</t>
  </si>
  <si>
    <t xml:space="preserve">iPhone SE 3</t>
  </si>
  <si>
    <t xml:space="preserve">Simultaneous mmWave + sub-6</t>
  </si>
  <si>
    <t xml:space="preserve">iPhone 14</t>
  </si>
  <si>
    <t xml:space="preserve">First satellite; 3GPP Release 16</t>
  </si>
  <si>
    <t xml:space="preserve">iPhone 15</t>
  </si>
  <si>
    <t xml:space="preserve">AI processing; 4x carrier aggregation</t>
  </si>
  <si>
    <t xml:space="preserve">Qualcomm SDX71M ('X71')</t>
  </si>
  <si>
    <t xml:space="preserve">Semi-custom; undisclosed specs</t>
  </si>
  <si>
    <t xml:space="preserve">First Apple modem; most efficient iPhone modem</t>
  </si>
  <si>
    <t xml:space="preserve">n/d (4 nm bb)</t>
  </si>
  <si>
    <t xml:space="preserve">30% less energy than iPhone 16 Pro modem</t>
  </si>
  <si>
    <t xml:space="preserve">6x carrier aggregation; 3GPP Release 18</t>
  </si>
  <si>
    <t xml:space="preserve">Yes (exp.)</t>
  </si>
  <si>
    <t xml:space="preserve">iPhone 18 Pro (exp.)</t>
  </si>
  <si>
    <t xml:space="preserve">Expected to match Qualcomm; satellite internet</t>
  </si>
  <si>
    <t xml:space="preserve">Connector / port timeline</t>
  </si>
  <si>
    <t xml:space="preserve">Three eras across the iPhone's history.</t>
  </si>
  <si>
    <t xml:space="preserve">Years</t>
  </si>
  <si>
    <t xml:space="preserve">First model</t>
  </si>
  <si>
    <t xml:space="preserve">Last model</t>
  </si>
  <si>
    <t xml:space="preserve">30-pin dock</t>
  </si>
  <si>
    <t xml:space="preserve">2007–2011</t>
  </si>
  <si>
    <t xml:space="preserve">Apple proprietary; also used on early iPods/iPads</t>
  </si>
  <si>
    <t xml:space="preserve">2012–2022</t>
  </si>
  <si>
    <t xml:space="preserve">iPhone 14 line &amp; SE 3rd gen</t>
  </si>
  <si>
    <t xml:space="preserve">Apple proprietary; reversible; replaced 30-pin</t>
  </si>
  <si>
    <t xml:space="preserve">2023–present</t>
  </si>
  <si>
    <t xml:space="preserve">current</t>
  </si>
  <si>
    <t xml:space="preserve">Mandated by the EU Common Charger directive; USB 2 on base models, USB 3 on Pro (15 Pro onward)</t>
  </si>
  <si>
    <t xml:space="preserve">Modem supplier history</t>
  </si>
  <si>
    <t xml:space="preserve">How baseband sourcing shifted, with the legal/business milestones behind it.</t>
  </si>
  <si>
    <t xml:space="preserve">Era</t>
  </si>
  <si>
    <t xml:space="preserve">iPhones</t>
  </si>
  <si>
    <t xml:space="preserve">Key event / note</t>
  </si>
  <si>
    <t xml:space="preserve">2007–2010</t>
  </si>
  <si>
    <t xml:space="preserve">original → iPhone 4 (GSM)</t>
  </si>
  <si>
    <t xml:space="preserve">Infineon baseband; Infineon's wireless unit later sold to Intel (2011)</t>
  </si>
  <si>
    <t xml:space="preserve">Qualcomm (CDMA only)</t>
  </si>
  <si>
    <t xml:space="preserve">First Qualcomm modem in an iPhone, in the CDMA variant</t>
  </si>
  <si>
    <t xml:space="preserve">2011–2016</t>
  </si>
  <si>
    <t xml:space="preserve">iPhone 4S → 6s / SE 1st gen</t>
  </si>
  <si>
    <t xml:space="preserve">Broad switch to Qualcomm; 2011 licensing/supply deal</t>
  </si>
  <si>
    <t xml:space="preserve">2016–2017</t>
  </si>
  <si>
    <t xml:space="preserve">Qualcomm + Intel</t>
  </si>
  <si>
    <t xml:space="preserve">iPhone 7, 8 / X</t>
  </si>
  <si>
    <t xml:space="preserve">Dual-sourced by carrier variant (Intel for GSM); Qualcomm units reportedly capped to match Intel</t>
  </si>
  <si>
    <t xml:space="preserve">2018–2019</t>
  </si>
  <si>
    <t xml:space="preserve">Intel (only)</t>
  </si>
  <si>
    <t xml:space="preserve">iPhone XS line, iPhone 11</t>
  </si>
  <si>
    <t xml:space="preserve">Qualcomm dropped entirely amid the patent/licensing dispute</t>
  </si>
  <si>
    <t xml:space="preserve">2019 (event)</t>
  </si>
  <si>
    <t xml:space="preserve">Apple &amp; Qualcomm settle out of court; Apple acquires Intel's smartphone modem business for ~$1B</t>
  </si>
  <si>
    <t xml:space="preserve">2020–2024</t>
  </si>
  <si>
    <t xml:space="preserve">iPhone 12 → 16</t>
  </si>
  <si>
    <t xml:space="preserve">5G via Snapdragon X-series; Apple's Qualcomm supply deal extended through 2026</t>
  </si>
  <si>
    <t xml:space="preserve">2025–</t>
  </si>
  <si>
    <t xml:space="preserve">Apple (+ Qualcomm in flagships)</t>
  </si>
  <si>
    <t xml:space="preserve">16e / Air / 17e (Apple); 17 / 17 Pro (Qualcomm)</t>
  </si>
  <si>
    <t xml:space="preserve">Apple C1 debuts (16e); C1X (Air); full transition to Apple modems expected by iPhone 18</t>
  </si>
  <si>
    <t xml:space="preserve">Markets &amp; regions (current-generation snapshot)</t>
  </si>
  <si>
    <t xml:space="preserve">The geography layer: same model, different hardware/permissions by where it was bought. SIM column reflects the iPhone 17 generation.</t>
  </si>
  <si>
    <t xml:space="preserve">Market / region</t>
  </si>
  <si>
    <t xml:space="preserve">SIM config (current gen)</t>
  </si>
  <si>
    <t xml:space="preserve">eSIM-only since</t>
  </si>
  <si>
    <t xml:space="preserve">mmWave 5G hardware</t>
  </si>
  <si>
    <t xml:space="preserve">Satellite features</t>
  </si>
  <si>
    <t xml:space="preserve">Regulatory / other notes</t>
  </si>
  <si>
    <t xml:space="preserve">US + territories (Guam, USVI)</t>
  </si>
  <si>
    <t xml:space="preserve">eSIM only</t>
  </si>
  <si>
    <t xml:space="preserve">Larger battery fills the freed SIM-tray space</t>
  </si>
  <si>
    <t xml:space="preserve">Canada</t>
  </si>
  <si>
    <t xml:space="preserve">Mexico</t>
  </si>
  <si>
    <t xml:space="preserve">Japan</t>
  </si>
  <si>
    <t xml:space="preserve">Camera shutter sound forced on by law; FeliCa transit support</t>
  </si>
  <si>
    <t xml:space="preserve">Gulf states (UAE, Saudi, Qatar, Kuwait, Oman, Bahrain)</t>
  </si>
  <si>
    <t xml:space="preserve">FaceTime historically restricted (since relaxed)</t>
  </si>
  <si>
    <t xml:space="preserve">Europe / UK</t>
  </si>
  <si>
    <t xml:space="preserve">EU Common Charger directive drove the global USB-C switch</t>
  </si>
  <si>
    <t xml:space="preserve">Australia / New Zealand / Singapore</t>
  </si>
  <si>
    <t xml:space="preserve">South Korea</t>
  </si>
  <si>
    <t xml:space="preserve">Camera shutter sound forced on by law</t>
  </si>
  <si>
    <t xml:space="preserve">Mainland China</t>
  </si>
  <si>
    <t xml:space="preserve">dual nano-SIM (no eSIM)</t>
  </si>
  <si>
    <t xml:space="preserve">Air only</t>
  </si>
  <si>
    <t xml:space="preserve">No (disabled)</t>
  </si>
  <si>
    <t xml:space="preserve">eSIM never approved except on iPhone Air; satellite disabled</t>
  </si>
  <si>
    <t xml:space="preserve">Hong Kong / Macau</t>
  </si>
  <si>
    <t xml:space="preserve">dual nano-SIM</t>
  </si>
  <si>
    <t xml:space="preserve">Yes (16e+ only)</t>
  </si>
  <si>
    <t xml:space="preserve">Satellite offered only on iPhone 16e and later</t>
  </si>
  <si>
    <t xml:space="preserve">Russia / Belarus / Armenia / Kazakhstan / Kyrgyzstan</t>
  </si>
  <si>
    <t xml:space="preserve">Satellite disabled on units purchased here</t>
  </si>
  <si>
    <t xml:space="preserve">iPhone Air (every market)</t>
  </si>
  <si>
    <t xml:space="preserve">eSIM only worldwide</t>
  </si>
  <si>
    <t xml:space="preserve">Yes (exc. restricted)</t>
  </si>
  <si>
    <t xml:space="preserve">First iPhone to be eSIM-only in all markets, incl. China</t>
  </si>
  <si>
    <t xml:space="preserve">Phone × region detail (recent 5G models)</t>
  </si>
  <si>
    <t xml:space="preserve">How SIM config, mmWave, and satellite vary by purchase region for each model — the time-evolution × geography interaction.</t>
  </si>
  <si>
    <t xml:space="preserve">Model</t>
  </si>
  <si>
    <t xml:space="preserve">Region</t>
  </si>
  <si>
    <t xml:space="preserve">SIM configuration</t>
  </si>
  <si>
    <t xml:space="preserve">United States</t>
  </si>
  <si>
    <t xml:space="preserve">US dropped SIM tray this year</t>
  </si>
  <si>
    <t xml:space="preserve">Shutter sound forced on</t>
  </si>
  <si>
    <t xml:space="preserve">Satellite disabled</t>
  </si>
  <si>
    <t xml:space="preserve">Satellite only from 16e</t>
  </si>
  <si>
    <t xml:space="preserve">Satellite available (16-series window)</t>
  </si>
  <si>
    <t xml:space="preserve">Apple C1; no mmWave anywhere</t>
  </si>
  <si>
    <t xml:space="preserve">Satellite (16e onward)</t>
  </si>
  <si>
    <t xml:space="preserve">Apple C1X; sub-6 only</t>
  </si>
  <si>
    <t xml:space="preserve">First eSIM in China; satellite still disabled</t>
  </si>
  <si>
    <t xml:space="preserve">Qualcomm X80</t>
  </si>
  <si>
    <t xml:space="preserve">Japan now eSIM-only</t>
  </si>
  <si>
    <t xml:space="preserve">Summary analysis</t>
  </si>
  <si>
    <t xml:space="preserve">Live counts over the Master sheet (recalculated).</t>
  </si>
  <si>
    <t xml:space="preserve">Metric</t>
  </si>
  <si>
    <t xml:space="preserve">Count</t>
  </si>
  <si>
    <t xml:space="preserve">Total iPhone model rows</t>
  </si>
  <si>
    <t xml:space="preserve">Models with a Qualcomm modem (incl. split years)</t>
  </si>
  <si>
    <t xml:space="preserve">Models with an Intel modem (incl. split years)</t>
  </si>
  <si>
    <t xml:space="preserve">Models with an Infineon modem</t>
  </si>
  <si>
    <t xml:space="preserve">Models with an Apple modem</t>
  </si>
  <si>
    <t xml:space="preserve">Models with a 30-pin connector</t>
  </si>
  <si>
    <t xml:space="preserve">Models with a Lightning connector</t>
  </si>
  <si>
    <t xml:space="preserve">Models with a USB-C connector</t>
  </si>
  <si>
    <t xml:space="preserve">Models with 5G (any)</t>
  </si>
  <si>
    <t xml:space="preserve">Models with 4G LTE (peak)</t>
  </si>
  <si>
    <t xml:space="preserve">Models with 3G (peak)</t>
  </si>
  <si>
    <t xml:space="preserve">Models with 2G (peak)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</si>
</sst>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1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2"/>
      <color rgb="FF2C3E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7500A"/>
      <name val="Arial"/>
      <family val="0"/>
      <charset val="1"/>
    </font>
    <font>
      <sz val="10"/>
      <color rgb="FF888780"/>
      <name val="Arial"/>
      <family val="0"/>
      <charset val="1"/>
    </font>
    <font>
      <sz val="10"/>
      <color rgb="FF791F1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1EFE8"/>
        <bgColor rgb="FFFAEEDA"/>
      </patternFill>
    </fill>
    <fill>
      <patternFill patternType="solid">
        <fgColor rgb="FFFAEEDA"/>
        <bgColor rgb="FFF1EFE8"/>
      </patternFill>
    </fill>
    <fill>
      <patternFill patternType="solid">
        <fgColor rgb="FFE6F1FB"/>
        <bgColor rgb="FFEEEDFE"/>
      </patternFill>
    </fill>
    <fill>
      <patternFill patternType="solid">
        <fgColor rgb="FFE1F5EE"/>
        <bgColor rgb="FFE6F1FB"/>
      </patternFill>
    </fill>
    <fill>
      <patternFill patternType="solid">
        <fgColor rgb="FFEEEDFE"/>
        <bgColor rgb="FFE6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780"/>
      <rgbColor rgb="FF9999FF"/>
      <rgbColor rgb="FF993366"/>
      <rgbColor rgb="FFFAEEDA"/>
      <rgbColor rgb="FFE1F5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1EFE8"/>
      <rgbColor rgb="FFEEEDF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A1A1A"/>
      <rgbColor rgb="FF27500A"/>
      <rgbColor rgb="FF791F1F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7.35" hidden="false" customHeight="false" outlineLevel="0" collapsed="false">
      <c r="B1" s="1" t="s">
        <v>0</v>
      </c>
    </row>
    <row r="2" customFormat="false" ht="30" hidden="false" customHeight="tru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27.75" hidden="false" customHeight="true" outlineLevel="0" collapsed="false">
      <c r="B5" s="3" t="s">
        <v>3</v>
      </c>
    </row>
    <row r="6" customFormat="false" ht="27.75" hidden="false" customHeight="true" outlineLevel="0" collapsed="false">
      <c r="B6" s="3" t="s">
        <v>4</v>
      </c>
    </row>
    <row r="7" customFormat="false" ht="27.75" hidden="false" customHeight="true" outlineLevel="0" collapsed="false">
      <c r="B7" s="3" t="s">
        <v>5</v>
      </c>
    </row>
    <row r="8" customFormat="false" ht="27.75" hidden="false" customHeight="tru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27.75" hidden="false" customHeight="true" outlineLevel="0" collapsed="false">
      <c r="B11" s="3" t="s">
        <v>9</v>
      </c>
    </row>
    <row r="12" customFormat="false" ht="27.75" hidden="false" customHeight="true" outlineLevel="0" collapsed="false">
      <c r="B12" s="3" t="s">
        <v>10</v>
      </c>
    </row>
    <row r="13" customFormat="false" ht="27.75" hidden="false" customHeight="true" outlineLevel="0" collapsed="false">
      <c r="B13" s="3" t="s">
        <v>11</v>
      </c>
    </row>
    <row r="14" customFormat="false" ht="27.75" hidden="false" customHeight="true" outlineLevel="0" collapsed="false">
      <c r="B14" s="3" t="s">
        <v>12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4" t="s">
        <v>13</v>
      </c>
    </row>
    <row r="17" customFormat="false" ht="15" hidden="false" customHeight="false" outlineLevel="0" collapsed="false">
      <c r="B17" s="3" t="s">
        <v>14</v>
      </c>
    </row>
    <row r="18" customFormat="false" ht="15" hidden="false" customHeight="false" outlineLevel="0" collapsed="false">
      <c r="B18" s="3" t="s">
        <v>15</v>
      </c>
    </row>
    <row r="19" customFormat="false" ht="27.75" hidden="false" customHeight="true" outlineLevel="0" collapsed="false">
      <c r="B19" s="3" t="s">
        <v>16</v>
      </c>
    </row>
    <row r="20" customFormat="false" ht="27.75" hidden="false" customHeight="true" outlineLevel="0" collapsed="false">
      <c r="B20" s="3" t="s">
        <v>17</v>
      </c>
    </row>
    <row r="21" customFormat="false" ht="15" hidden="false" customHeight="false" outlineLevel="0" collapsed="false">
      <c r="B21" s="3" t="s">
        <v>18</v>
      </c>
    </row>
    <row r="22" customFormat="false" ht="15" hidden="false" customHeight="false" outlineLevel="0" collapsed="false">
      <c r="B22" s="3"/>
    </row>
    <row r="23" customFormat="false" ht="15" hidden="false" customHeight="false" outlineLevel="0" collapsed="false">
      <c r="B23" s="4" t="s">
        <v>19</v>
      </c>
    </row>
    <row r="24" customFormat="false" ht="27.75" hidden="false" customHeight="true" outlineLevel="0" collapsed="false">
      <c r="B24" s="3" t="s">
        <v>20</v>
      </c>
    </row>
    <row r="25" customFormat="false" ht="27.75" hidden="false" customHeight="true" outlineLevel="0" collapsed="false">
      <c r="B25" s="3" t="s">
        <v>21</v>
      </c>
    </row>
    <row r="26" customFormat="false" ht="27.75" hidden="false" customHeight="true" outlineLevel="0" collapsed="false">
      <c r="B26" s="3" t="s">
        <v>22</v>
      </c>
    </row>
    <row r="27" customFormat="false" ht="27.75" hidden="false" customHeight="true" outlineLevel="0" collapsed="false">
      <c r="B27" s="3" t="s">
        <v>23</v>
      </c>
    </row>
    <row r="28" customFormat="false" ht="27.75" hidden="false" customHeight="true" outlineLevel="0" collapsed="false">
      <c r="B28" s="3" t="s">
        <v>24</v>
      </c>
    </row>
    <row r="29" customFormat="false" ht="27.75" hidden="false" customHeight="true" outlineLevel="0" collapsed="false">
      <c r="B29" s="3" t="s">
        <v>25</v>
      </c>
    </row>
    <row r="30" customFormat="false" ht="15" hidden="false" customHeight="false" outlineLevel="0" collapsed="false">
      <c r="B30" s="3"/>
    </row>
    <row r="31" customFormat="false" ht="15" hidden="false" customHeight="false" outlineLevel="0" collapsed="false">
      <c r="B31" s="4" t="s">
        <v>26</v>
      </c>
    </row>
    <row r="32" customFormat="false" ht="27.75" hidden="false" customHeight="true" outlineLevel="0" collapsed="false">
      <c r="B32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8"/>
    <col collapsed="false" customWidth="true" hidden="false" outlineLevel="0" max="9" min="8" style="0" width="2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46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5" t="s">
        <v>29</v>
      </c>
    </row>
    <row r="4" customFormat="false" ht="15" hidden="false" customHeight="false" outlineLevel="0" collapsed="false">
      <c r="A4" s="6" t="s">
        <v>30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</row>
    <row r="5" customFormat="false" ht="15" hidden="false" customHeight="false" outlineLevel="0" collapsed="false">
      <c r="A5" s="7" t="s">
        <v>42</v>
      </c>
      <c r="B5" s="7" t="s">
        <v>43</v>
      </c>
      <c r="C5" s="7" t="s">
        <v>44</v>
      </c>
      <c r="D5" s="7" t="s">
        <v>45</v>
      </c>
      <c r="E5" s="8" t="s">
        <v>46</v>
      </c>
      <c r="F5" s="8" t="s">
        <v>47</v>
      </c>
      <c r="G5" s="7" t="s">
        <v>48</v>
      </c>
      <c r="H5" s="7" t="s">
        <v>49</v>
      </c>
      <c r="I5" s="7" t="s">
        <v>50</v>
      </c>
      <c r="J5" s="7" t="s">
        <v>51</v>
      </c>
      <c r="K5" s="7" t="s">
        <v>52</v>
      </c>
      <c r="L5" s="8" t="s">
        <v>53</v>
      </c>
    </row>
    <row r="6" customFormat="false" ht="15" hidden="false" customHeight="false" outlineLevel="0" collapsed="false">
      <c r="A6" s="7" t="s">
        <v>54</v>
      </c>
      <c r="B6" s="7" t="s">
        <v>55</v>
      </c>
      <c r="C6" s="7" t="s">
        <v>44</v>
      </c>
      <c r="D6" s="7" t="s">
        <v>45</v>
      </c>
      <c r="E6" s="8"/>
      <c r="F6" s="8" t="s">
        <v>56</v>
      </c>
      <c r="G6" s="7" t="s">
        <v>48</v>
      </c>
      <c r="H6" s="7" t="s">
        <v>49</v>
      </c>
      <c r="I6" s="7" t="s">
        <v>57</v>
      </c>
      <c r="J6" s="7" t="s">
        <v>58</v>
      </c>
      <c r="K6" s="7" t="s">
        <v>52</v>
      </c>
      <c r="L6" s="8" t="s">
        <v>59</v>
      </c>
    </row>
    <row r="7" customFormat="false" ht="15" hidden="false" customHeight="false" outlineLevel="0" collapsed="false">
      <c r="A7" s="7" t="s">
        <v>60</v>
      </c>
      <c r="B7" s="7" t="s">
        <v>61</v>
      </c>
      <c r="C7" s="7" t="s">
        <v>62</v>
      </c>
      <c r="D7" s="7" t="s">
        <v>63</v>
      </c>
      <c r="E7" s="8"/>
      <c r="F7" s="8" t="s">
        <v>64</v>
      </c>
      <c r="G7" s="7" t="s">
        <v>48</v>
      </c>
      <c r="H7" s="7" t="s">
        <v>49</v>
      </c>
      <c r="I7" s="7" t="s">
        <v>65</v>
      </c>
      <c r="J7" s="7" t="s">
        <v>66</v>
      </c>
      <c r="K7" s="7" t="s">
        <v>52</v>
      </c>
      <c r="L7" s="8"/>
    </row>
    <row r="8" customFormat="false" ht="23.85" hidden="false" customHeight="false" outlineLevel="0" collapsed="false">
      <c r="A8" s="9" t="s">
        <v>67</v>
      </c>
      <c r="B8" s="9" t="s">
        <v>68</v>
      </c>
      <c r="C8" s="9" t="s">
        <v>69</v>
      </c>
      <c r="D8" s="9" t="s">
        <v>70</v>
      </c>
      <c r="E8" s="10" t="s">
        <v>71</v>
      </c>
      <c r="F8" s="10" t="s">
        <v>72</v>
      </c>
      <c r="G8" s="9" t="s">
        <v>73</v>
      </c>
      <c r="H8" s="9" t="s">
        <v>74</v>
      </c>
      <c r="I8" s="9" t="s">
        <v>75</v>
      </c>
      <c r="J8" s="9" t="s">
        <v>66</v>
      </c>
      <c r="K8" s="9" t="s">
        <v>52</v>
      </c>
      <c r="L8" s="10" t="s">
        <v>76</v>
      </c>
    </row>
    <row r="9" customFormat="false" ht="23.85" hidden="false" customHeight="false" outlineLevel="0" collapsed="false">
      <c r="A9" s="11" t="s">
        <v>77</v>
      </c>
      <c r="B9" s="11" t="s">
        <v>78</v>
      </c>
      <c r="C9" s="11" t="s">
        <v>79</v>
      </c>
      <c r="D9" s="11" t="s">
        <v>70</v>
      </c>
      <c r="E9" s="12"/>
      <c r="F9" s="12" t="s">
        <v>80</v>
      </c>
      <c r="G9" s="11" t="s">
        <v>81</v>
      </c>
      <c r="H9" s="11" t="s">
        <v>82</v>
      </c>
      <c r="I9" s="11" t="s">
        <v>83</v>
      </c>
      <c r="J9" s="11" t="s">
        <v>84</v>
      </c>
      <c r="K9" s="11" t="s">
        <v>52</v>
      </c>
      <c r="L9" s="12" t="s">
        <v>85</v>
      </c>
    </row>
    <row r="10" customFormat="false" ht="15" hidden="false" customHeight="false" outlineLevel="0" collapsed="false">
      <c r="A10" s="11" t="s">
        <v>86</v>
      </c>
      <c r="B10" s="11" t="s">
        <v>87</v>
      </c>
      <c r="C10" s="11" t="s">
        <v>88</v>
      </c>
      <c r="D10" s="11" t="s">
        <v>89</v>
      </c>
      <c r="E10" s="12" t="s">
        <v>90</v>
      </c>
      <c r="F10" s="12" t="s">
        <v>91</v>
      </c>
      <c r="G10" s="11" t="s">
        <v>81</v>
      </c>
      <c r="H10" s="11" t="s">
        <v>92</v>
      </c>
      <c r="I10" s="11" t="s">
        <v>93</v>
      </c>
      <c r="J10" s="11" t="s">
        <v>94</v>
      </c>
      <c r="K10" s="11" t="s">
        <v>95</v>
      </c>
      <c r="L10" s="12" t="s">
        <v>96</v>
      </c>
    </row>
    <row r="11" customFormat="false" ht="15" hidden="false" customHeight="false" outlineLevel="0" collapsed="false">
      <c r="A11" s="11" t="s">
        <v>97</v>
      </c>
      <c r="B11" s="11" t="s">
        <v>98</v>
      </c>
      <c r="C11" s="11" t="s">
        <v>88</v>
      </c>
      <c r="D11" s="11" t="s">
        <v>89</v>
      </c>
      <c r="E11" s="12"/>
      <c r="F11" s="12" t="s">
        <v>99</v>
      </c>
      <c r="G11" s="11" t="s">
        <v>81</v>
      </c>
      <c r="H11" s="11" t="s">
        <v>92</v>
      </c>
      <c r="I11" s="11" t="s">
        <v>100</v>
      </c>
      <c r="J11" s="11" t="s">
        <v>101</v>
      </c>
      <c r="K11" s="11" t="s">
        <v>95</v>
      </c>
      <c r="L11" s="12"/>
    </row>
    <row r="12" customFormat="false" ht="23.85" hidden="false" customHeight="false" outlineLevel="0" collapsed="false">
      <c r="A12" s="11" t="s">
        <v>102</v>
      </c>
      <c r="B12" s="11" t="s">
        <v>98</v>
      </c>
      <c r="C12" s="11" t="s">
        <v>103</v>
      </c>
      <c r="D12" s="11" t="s">
        <v>92</v>
      </c>
      <c r="E12" s="12" t="s">
        <v>104</v>
      </c>
      <c r="F12" s="12" t="s">
        <v>99</v>
      </c>
      <c r="G12" s="11" t="s">
        <v>81</v>
      </c>
      <c r="H12" s="11" t="s">
        <v>92</v>
      </c>
      <c r="I12" s="11" t="s">
        <v>100</v>
      </c>
      <c r="J12" s="11" t="s">
        <v>101</v>
      </c>
      <c r="K12" s="11" t="s">
        <v>95</v>
      </c>
      <c r="L12" s="12" t="s">
        <v>105</v>
      </c>
    </row>
    <row r="13" customFormat="false" ht="15" hidden="false" customHeight="false" outlineLevel="0" collapsed="false">
      <c r="A13" s="11" t="s">
        <v>106</v>
      </c>
      <c r="B13" s="11" t="s">
        <v>107</v>
      </c>
      <c r="C13" s="11" t="s">
        <v>108</v>
      </c>
      <c r="D13" s="11" t="s">
        <v>109</v>
      </c>
      <c r="E13" s="12"/>
      <c r="F13" s="12" t="s">
        <v>110</v>
      </c>
      <c r="G13" s="11" t="s">
        <v>81</v>
      </c>
      <c r="H13" s="11" t="s">
        <v>92</v>
      </c>
      <c r="I13" s="11" t="s">
        <v>100</v>
      </c>
      <c r="J13" s="11" t="s">
        <v>101</v>
      </c>
      <c r="K13" s="11" t="s">
        <v>95</v>
      </c>
      <c r="L13" s="12" t="s">
        <v>111</v>
      </c>
    </row>
    <row r="14" customFormat="false" ht="15" hidden="false" customHeight="false" outlineLevel="0" collapsed="false">
      <c r="A14" s="11" t="s">
        <v>112</v>
      </c>
      <c r="B14" s="11" t="s">
        <v>113</v>
      </c>
      <c r="C14" s="11" t="s">
        <v>114</v>
      </c>
      <c r="D14" s="11" t="s">
        <v>115</v>
      </c>
      <c r="E14" s="12" t="s">
        <v>116</v>
      </c>
      <c r="F14" s="12" t="s">
        <v>117</v>
      </c>
      <c r="G14" s="11" t="s">
        <v>81</v>
      </c>
      <c r="H14" s="11" t="s">
        <v>118</v>
      </c>
      <c r="I14" s="11" t="s">
        <v>119</v>
      </c>
      <c r="J14" s="11" t="s">
        <v>120</v>
      </c>
      <c r="K14" s="11" t="s">
        <v>95</v>
      </c>
      <c r="L14" s="12" t="s">
        <v>121</v>
      </c>
    </row>
    <row r="15" customFormat="false" ht="15" hidden="false" customHeight="false" outlineLevel="0" collapsed="false">
      <c r="A15" s="11" t="s">
        <v>122</v>
      </c>
      <c r="B15" s="11" t="s">
        <v>123</v>
      </c>
      <c r="C15" s="11" t="s">
        <v>114</v>
      </c>
      <c r="D15" s="11" t="s">
        <v>124</v>
      </c>
      <c r="E15" s="12"/>
      <c r="F15" s="12" t="s">
        <v>110</v>
      </c>
      <c r="G15" s="11" t="s">
        <v>81</v>
      </c>
      <c r="H15" s="11" t="s">
        <v>92</v>
      </c>
      <c r="I15" s="11" t="s">
        <v>100</v>
      </c>
      <c r="J15" s="11" t="s">
        <v>101</v>
      </c>
      <c r="K15" s="11" t="s">
        <v>95</v>
      </c>
      <c r="L15" s="12" t="s">
        <v>125</v>
      </c>
    </row>
    <row r="16" customFormat="false" ht="23.85" hidden="false" customHeight="false" outlineLevel="0" collapsed="false">
      <c r="A16" s="9" t="s">
        <v>126</v>
      </c>
      <c r="B16" s="9" t="s">
        <v>123</v>
      </c>
      <c r="C16" s="9" t="s">
        <v>127</v>
      </c>
      <c r="D16" s="9" t="s">
        <v>128</v>
      </c>
      <c r="E16" s="10" t="s">
        <v>129</v>
      </c>
      <c r="F16" s="10" t="s">
        <v>130</v>
      </c>
      <c r="G16" s="9" t="s">
        <v>131</v>
      </c>
      <c r="H16" s="9" t="s">
        <v>132</v>
      </c>
      <c r="I16" s="9" t="s">
        <v>133</v>
      </c>
      <c r="J16" s="9" t="s">
        <v>134</v>
      </c>
      <c r="K16" s="9" t="s">
        <v>95</v>
      </c>
      <c r="L16" s="10" t="s">
        <v>135</v>
      </c>
    </row>
    <row r="17" customFormat="false" ht="15" hidden="false" customHeight="false" outlineLevel="0" collapsed="false">
      <c r="A17" s="9" t="s">
        <v>136</v>
      </c>
      <c r="B17" s="9" t="s">
        <v>137</v>
      </c>
      <c r="C17" s="9" t="s">
        <v>138</v>
      </c>
      <c r="D17" s="9" t="s">
        <v>139</v>
      </c>
      <c r="E17" s="10" t="s">
        <v>140</v>
      </c>
      <c r="F17" s="10" t="s">
        <v>141</v>
      </c>
      <c r="G17" s="9" t="s">
        <v>131</v>
      </c>
      <c r="H17" s="9" t="s">
        <v>142</v>
      </c>
      <c r="I17" s="9" t="s">
        <v>143</v>
      </c>
      <c r="J17" s="9" t="s">
        <v>144</v>
      </c>
      <c r="K17" s="9" t="s">
        <v>95</v>
      </c>
      <c r="L17" s="10" t="s">
        <v>145</v>
      </c>
    </row>
    <row r="18" customFormat="false" ht="15" hidden="false" customHeight="false" outlineLevel="0" collapsed="false">
      <c r="A18" s="13" t="s">
        <v>146</v>
      </c>
      <c r="B18" s="13" t="s">
        <v>147</v>
      </c>
      <c r="C18" s="13" t="s">
        <v>148</v>
      </c>
      <c r="D18" s="13" t="s">
        <v>149</v>
      </c>
      <c r="E18" s="14" t="s">
        <v>150</v>
      </c>
      <c r="F18" s="14" t="s">
        <v>151</v>
      </c>
      <c r="G18" s="13" t="s">
        <v>152</v>
      </c>
      <c r="H18" s="13" t="s">
        <v>142</v>
      </c>
      <c r="I18" s="13" t="s">
        <v>143</v>
      </c>
      <c r="J18" s="13" t="s">
        <v>144</v>
      </c>
      <c r="K18" s="13" t="s">
        <v>95</v>
      </c>
      <c r="L18" s="14" t="s">
        <v>153</v>
      </c>
    </row>
    <row r="19" customFormat="false" ht="15" hidden="false" customHeight="false" outlineLevel="0" collapsed="false">
      <c r="A19" s="13" t="s">
        <v>154</v>
      </c>
      <c r="B19" s="13" t="s">
        <v>155</v>
      </c>
      <c r="C19" s="13" t="s">
        <v>156</v>
      </c>
      <c r="D19" s="13" t="s">
        <v>157</v>
      </c>
      <c r="E19" s="14"/>
      <c r="F19" s="14" t="s">
        <v>158</v>
      </c>
      <c r="G19" s="13" t="s">
        <v>152</v>
      </c>
      <c r="H19" s="13" t="s">
        <v>142</v>
      </c>
      <c r="I19" s="13" t="s">
        <v>159</v>
      </c>
      <c r="J19" s="13" t="s">
        <v>160</v>
      </c>
      <c r="K19" s="13" t="s">
        <v>95</v>
      </c>
      <c r="L19" s="14" t="s">
        <v>161</v>
      </c>
    </row>
    <row r="20" customFormat="false" ht="15" hidden="false" customHeight="false" outlineLevel="0" collapsed="false">
      <c r="A20" s="11" t="s">
        <v>162</v>
      </c>
      <c r="B20" s="11" t="s">
        <v>163</v>
      </c>
      <c r="C20" s="11" t="s">
        <v>156</v>
      </c>
      <c r="D20" s="11" t="s">
        <v>149</v>
      </c>
      <c r="E20" s="12"/>
      <c r="F20" s="12" t="s">
        <v>164</v>
      </c>
      <c r="G20" s="11" t="s">
        <v>81</v>
      </c>
      <c r="H20" s="11" t="s">
        <v>49</v>
      </c>
      <c r="I20" s="11" t="s">
        <v>165</v>
      </c>
      <c r="J20" s="11" t="s">
        <v>49</v>
      </c>
      <c r="K20" s="11" t="s">
        <v>95</v>
      </c>
      <c r="L20" s="12" t="s">
        <v>166</v>
      </c>
    </row>
    <row r="21" customFormat="false" ht="15" hidden="false" customHeight="false" outlineLevel="0" collapsed="false">
      <c r="A21" s="11" t="s">
        <v>167</v>
      </c>
      <c r="B21" s="11" t="s">
        <v>163</v>
      </c>
      <c r="C21" s="11" t="s">
        <v>168</v>
      </c>
      <c r="D21" s="11" t="s">
        <v>169</v>
      </c>
      <c r="E21" s="12" t="s">
        <v>170</v>
      </c>
      <c r="F21" s="12" t="s">
        <v>171</v>
      </c>
      <c r="G21" s="11" t="s">
        <v>81</v>
      </c>
      <c r="H21" s="11" t="s">
        <v>149</v>
      </c>
      <c r="I21" s="11" t="s">
        <v>172</v>
      </c>
      <c r="J21" s="11" t="s">
        <v>173</v>
      </c>
      <c r="K21" s="11" t="s">
        <v>95</v>
      </c>
      <c r="L21" s="12" t="s">
        <v>174</v>
      </c>
    </row>
    <row r="22" customFormat="false" ht="15" hidden="false" customHeight="false" outlineLevel="0" collapsed="false">
      <c r="A22" s="11" t="s">
        <v>175</v>
      </c>
      <c r="B22" s="11" t="s">
        <v>176</v>
      </c>
      <c r="C22" s="11" t="s">
        <v>177</v>
      </c>
      <c r="D22" s="11" t="s">
        <v>178</v>
      </c>
      <c r="E22" s="12"/>
      <c r="F22" s="12" t="s">
        <v>179</v>
      </c>
      <c r="G22" s="11" t="s">
        <v>81</v>
      </c>
      <c r="H22" s="11" t="s">
        <v>169</v>
      </c>
      <c r="I22" s="11" t="s">
        <v>172</v>
      </c>
      <c r="J22" s="11" t="s">
        <v>173</v>
      </c>
      <c r="K22" s="11" t="s">
        <v>95</v>
      </c>
      <c r="L22" s="12" t="s">
        <v>180</v>
      </c>
    </row>
    <row r="23" customFormat="false" ht="15" hidden="false" customHeight="false" outlineLevel="0" collapsed="false">
      <c r="A23" s="11" t="s">
        <v>181</v>
      </c>
      <c r="B23" s="11" t="s">
        <v>182</v>
      </c>
      <c r="C23" s="11" t="s">
        <v>177</v>
      </c>
      <c r="D23" s="11" t="s">
        <v>169</v>
      </c>
      <c r="E23" s="12"/>
      <c r="F23" s="12" t="s">
        <v>183</v>
      </c>
      <c r="G23" s="11" t="s">
        <v>81</v>
      </c>
      <c r="H23" s="11" t="s">
        <v>49</v>
      </c>
      <c r="I23" s="11" t="s">
        <v>184</v>
      </c>
      <c r="J23" s="11" t="s">
        <v>49</v>
      </c>
      <c r="K23" s="11" t="s">
        <v>95</v>
      </c>
      <c r="L23" s="12" t="s">
        <v>185</v>
      </c>
    </row>
    <row r="24" customFormat="false" ht="23.85" hidden="false" customHeight="false" outlineLevel="0" collapsed="false">
      <c r="A24" s="11" t="s">
        <v>186</v>
      </c>
      <c r="B24" s="11" t="s">
        <v>182</v>
      </c>
      <c r="C24" s="11" t="s">
        <v>177</v>
      </c>
      <c r="D24" s="11" t="s">
        <v>169</v>
      </c>
      <c r="E24" s="12" t="s">
        <v>187</v>
      </c>
      <c r="F24" s="12" t="s">
        <v>188</v>
      </c>
      <c r="G24" s="11" t="s">
        <v>81</v>
      </c>
      <c r="H24" s="11" t="s">
        <v>189</v>
      </c>
      <c r="I24" s="11" t="s">
        <v>172</v>
      </c>
      <c r="J24" s="11" t="s">
        <v>190</v>
      </c>
      <c r="K24" s="11" t="s">
        <v>95</v>
      </c>
      <c r="L24" s="12" t="s">
        <v>191</v>
      </c>
    </row>
    <row r="25" customFormat="false" ht="15" hidden="false" customHeight="false" outlineLevel="0" collapsed="false">
      <c r="A25" s="11" t="s">
        <v>192</v>
      </c>
      <c r="B25" s="11" t="s">
        <v>182</v>
      </c>
      <c r="C25" s="11" t="s">
        <v>193</v>
      </c>
      <c r="D25" s="11" t="s">
        <v>194</v>
      </c>
      <c r="E25" s="12"/>
      <c r="F25" s="12" t="s">
        <v>188</v>
      </c>
      <c r="G25" s="11" t="s">
        <v>81</v>
      </c>
      <c r="H25" s="11" t="s">
        <v>189</v>
      </c>
      <c r="I25" s="11" t="s">
        <v>172</v>
      </c>
      <c r="J25" s="11" t="s">
        <v>190</v>
      </c>
      <c r="K25" s="11" t="s">
        <v>95</v>
      </c>
      <c r="L25" s="12" t="s">
        <v>195</v>
      </c>
    </row>
    <row r="26" customFormat="false" ht="15" hidden="false" customHeight="false" outlineLevel="0" collapsed="false">
      <c r="A26" s="11" t="s">
        <v>196</v>
      </c>
      <c r="B26" s="11" t="s">
        <v>197</v>
      </c>
      <c r="C26" s="11" t="s">
        <v>193</v>
      </c>
      <c r="D26" s="11" t="s">
        <v>189</v>
      </c>
      <c r="E26" s="12" t="s">
        <v>198</v>
      </c>
      <c r="F26" s="12" t="s">
        <v>199</v>
      </c>
      <c r="G26" s="11" t="s">
        <v>81</v>
      </c>
      <c r="H26" s="11" t="s">
        <v>189</v>
      </c>
      <c r="I26" s="11" t="s">
        <v>172</v>
      </c>
      <c r="J26" s="11" t="s">
        <v>190</v>
      </c>
      <c r="K26" s="11" t="s">
        <v>200</v>
      </c>
      <c r="L26" s="12" t="s">
        <v>201</v>
      </c>
    </row>
    <row r="27" customFormat="false" ht="15" hidden="false" customHeight="false" outlineLevel="0" collapsed="false">
      <c r="A27" s="11" t="s">
        <v>202</v>
      </c>
      <c r="B27" s="11" t="s">
        <v>197</v>
      </c>
      <c r="C27" s="11" t="s">
        <v>203</v>
      </c>
      <c r="D27" s="11" t="s">
        <v>204</v>
      </c>
      <c r="E27" s="12" t="s">
        <v>205</v>
      </c>
      <c r="F27" s="12" t="s">
        <v>199</v>
      </c>
      <c r="G27" s="11" t="s">
        <v>81</v>
      </c>
      <c r="H27" s="11" t="s">
        <v>189</v>
      </c>
      <c r="I27" s="11" t="s">
        <v>172</v>
      </c>
      <c r="J27" s="11" t="s">
        <v>190</v>
      </c>
      <c r="K27" s="11" t="s">
        <v>200</v>
      </c>
      <c r="L27" s="12" t="s">
        <v>206</v>
      </c>
    </row>
    <row r="28" customFormat="false" ht="15" hidden="false" customHeight="false" outlineLevel="0" collapsed="false">
      <c r="A28" s="11" t="s">
        <v>207</v>
      </c>
      <c r="B28" s="11" t="s">
        <v>208</v>
      </c>
      <c r="C28" s="11" t="s">
        <v>209</v>
      </c>
      <c r="D28" s="11" t="s">
        <v>210</v>
      </c>
      <c r="E28" s="12"/>
      <c r="F28" s="12" t="s">
        <v>211</v>
      </c>
      <c r="G28" s="11" t="s">
        <v>81</v>
      </c>
      <c r="H28" s="11" t="s">
        <v>49</v>
      </c>
      <c r="I28" s="11" t="s">
        <v>172</v>
      </c>
      <c r="J28" s="11" t="s">
        <v>49</v>
      </c>
      <c r="K28" s="11" t="s">
        <v>200</v>
      </c>
      <c r="L28" s="12" t="s">
        <v>212</v>
      </c>
    </row>
    <row r="29" customFormat="false" ht="15" hidden="false" customHeight="false" outlineLevel="0" collapsed="false">
      <c r="A29" s="11" t="s">
        <v>213</v>
      </c>
      <c r="B29" s="11" t="s">
        <v>208</v>
      </c>
      <c r="C29" s="11" t="s">
        <v>214</v>
      </c>
      <c r="D29" s="11" t="s">
        <v>210</v>
      </c>
      <c r="E29" s="12"/>
      <c r="F29" s="12" t="s">
        <v>211</v>
      </c>
      <c r="G29" s="11" t="s">
        <v>81</v>
      </c>
      <c r="H29" s="11" t="s">
        <v>49</v>
      </c>
      <c r="I29" s="11" t="s">
        <v>172</v>
      </c>
      <c r="J29" s="11" t="s">
        <v>49</v>
      </c>
      <c r="K29" s="11" t="s">
        <v>200</v>
      </c>
      <c r="L29" s="12"/>
    </row>
    <row r="30" customFormat="false" ht="23.85" hidden="false" customHeight="false" outlineLevel="0" collapsed="false">
      <c r="A30" s="15" t="s">
        <v>215</v>
      </c>
      <c r="B30" s="15" t="s">
        <v>216</v>
      </c>
      <c r="C30" s="15" t="s">
        <v>209</v>
      </c>
      <c r="D30" s="15" t="s">
        <v>210</v>
      </c>
      <c r="E30" s="16"/>
      <c r="F30" s="16" t="s">
        <v>217</v>
      </c>
      <c r="G30" s="15" t="s">
        <v>218</v>
      </c>
      <c r="H30" s="15" t="s">
        <v>219</v>
      </c>
      <c r="I30" s="15" t="s">
        <v>220</v>
      </c>
      <c r="J30" s="15" t="s">
        <v>49</v>
      </c>
      <c r="K30" s="15" t="s">
        <v>200</v>
      </c>
      <c r="L30" s="16" t="s">
        <v>221</v>
      </c>
    </row>
    <row r="31" customFormat="false" ht="15" hidden="false" customHeight="false" outlineLevel="0" collapsed="false">
      <c r="A31" s="15" t="s">
        <v>222</v>
      </c>
      <c r="B31" s="15" t="s">
        <v>223</v>
      </c>
      <c r="C31" s="15" t="s">
        <v>224</v>
      </c>
      <c r="D31" s="15" t="s">
        <v>225</v>
      </c>
      <c r="E31" s="16"/>
      <c r="F31" s="16" t="s">
        <v>226</v>
      </c>
      <c r="G31" s="15" t="s">
        <v>218</v>
      </c>
      <c r="H31" s="15" t="s">
        <v>227</v>
      </c>
      <c r="I31" s="15" t="s">
        <v>220</v>
      </c>
      <c r="J31" s="15" t="s">
        <v>228</v>
      </c>
      <c r="K31" s="15" t="s">
        <v>200</v>
      </c>
      <c r="L31" s="16" t="s">
        <v>229</v>
      </c>
    </row>
    <row r="32" customFormat="false" ht="15" hidden="false" customHeight="false" outlineLevel="0" collapsed="false">
      <c r="A32" s="11" t="s">
        <v>230</v>
      </c>
      <c r="B32" s="11" t="s">
        <v>223</v>
      </c>
      <c r="C32" s="11" t="s">
        <v>231</v>
      </c>
      <c r="D32" s="11" t="s">
        <v>225</v>
      </c>
      <c r="E32" s="12"/>
      <c r="F32" s="12" t="s">
        <v>232</v>
      </c>
      <c r="G32" s="11" t="s">
        <v>81</v>
      </c>
      <c r="H32" s="11" t="s">
        <v>189</v>
      </c>
      <c r="I32" s="11" t="s">
        <v>172</v>
      </c>
      <c r="J32" s="11" t="s">
        <v>49</v>
      </c>
      <c r="K32" s="11" t="s">
        <v>200</v>
      </c>
      <c r="L32" s="12"/>
    </row>
    <row r="33" customFormat="false" ht="15" hidden="false" customHeight="false" outlineLevel="0" collapsed="false">
      <c r="A33" s="11" t="s">
        <v>233</v>
      </c>
      <c r="B33" s="11" t="s">
        <v>223</v>
      </c>
      <c r="C33" s="11" t="s">
        <v>224</v>
      </c>
      <c r="D33" s="11" t="s">
        <v>225</v>
      </c>
      <c r="E33" s="12"/>
      <c r="F33" s="12" t="s">
        <v>232</v>
      </c>
      <c r="G33" s="11" t="s">
        <v>81</v>
      </c>
      <c r="H33" s="11" t="s">
        <v>189</v>
      </c>
      <c r="I33" s="11" t="s">
        <v>172</v>
      </c>
      <c r="J33" s="11" t="s">
        <v>49</v>
      </c>
      <c r="K33" s="11" t="s">
        <v>200</v>
      </c>
      <c r="L33" s="12" t="s">
        <v>234</v>
      </c>
    </row>
    <row r="34" customFormat="false" ht="15" hidden="false" customHeight="false" outlineLevel="0" collapsed="false">
      <c r="A34" s="15" t="s">
        <v>235</v>
      </c>
      <c r="B34" s="15" t="s">
        <v>236</v>
      </c>
      <c r="C34" s="15" t="s">
        <v>231</v>
      </c>
      <c r="D34" s="15" t="s">
        <v>225</v>
      </c>
      <c r="E34" s="16"/>
      <c r="F34" s="16" t="s">
        <v>226</v>
      </c>
      <c r="G34" s="15" t="s">
        <v>218</v>
      </c>
      <c r="H34" s="15" t="s">
        <v>49</v>
      </c>
      <c r="I34" s="15" t="s">
        <v>220</v>
      </c>
      <c r="J34" s="15" t="s">
        <v>228</v>
      </c>
      <c r="K34" s="15" t="s">
        <v>200</v>
      </c>
      <c r="L34" s="16" t="s">
        <v>237</v>
      </c>
    </row>
    <row r="35" customFormat="false" ht="15" hidden="false" customHeight="false" outlineLevel="0" collapsed="false">
      <c r="A35" s="15" t="s">
        <v>238</v>
      </c>
      <c r="B35" s="15" t="s">
        <v>239</v>
      </c>
      <c r="C35" s="15" t="s">
        <v>240</v>
      </c>
      <c r="D35" s="15" t="s">
        <v>241</v>
      </c>
      <c r="E35" s="16" t="s">
        <v>242</v>
      </c>
      <c r="F35" s="16" t="s">
        <v>243</v>
      </c>
      <c r="G35" s="15" t="s">
        <v>218</v>
      </c>
      <c r="H35" s="15" t="s">
        <v>49</v>
      </c>
      <c r="I35" s="15" t="s">
        <v>244</v>
      </c>
      <c r="J35" s="15" t="s">
        <v>49</v>
      </c>
      <c r="K35" s="15" t="s">
        <v>200</v>
      </c>
      <c r="L35" s="16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246</v>
      </c>
    </row>
    <row r="2" customFormat="false" ht="15" hidden="false" customHeight="false" outlineLevel="0" collapsed="false">
      <c r="A2" s="5" t="s">
        <v>247</v>
      </c>
    </row>
    <row r="4" customFormat="false" ht="15" hidden="false" customHeight="false" outlineLevel="0" collapsed="false">
      <c r="A4" s="6" t="s">
        <v>248</v>
      </c>
      <c r="B4" s="6" t="s">
        <v>32</v>
      </c>
      <c r="C4" s="6" t="s">
        <v>33</v>
      </c>
      <c r="D4" s="6" t="s">
        <v>35</v>
      </c>
      <c r="E4" s="6" t="s">
        <v>36</v>
      </c>
      <c r="F4" s="6" t="s">
        <v>37</v>
      </c>
      <c r="G4" s="6" t="s">
        <v>40</v>
      </c>
      <c r="H4" s="6" t="s">
        <v>249</v>
      </c>
      <c r="I4" s="6" t="s">
        <v>41</v>
      </c>
    </row>
    <row r="5" customFormat="false" ht="15" hidden="false" customHeight="false" outlineLevel="0" collapsed="false">
      <c r="A5" s="7" t="s">
        <v>250</v>
      </c>
      <c r="B5" s="7" t="s">
        <v>44</v>
      </c>
      <c r="C5" s="7" t="s">
        <v>45</v>
      </c>
      <c r="D5" s="7" t="s">
        <v>47</v>
      </c>
      <c r="E5" s="7" t="s">
        <v>48</v>
      </c>
      <c r="F5" s="7" t="s">
        <v>49</v>
      </c>
      <c r="G5" s="7" t="s">
        <v>52</v>
      </c>
      <c r="H5" s="7" t="s">
        <v>50</v>
      </c>
      <c r="I5" s="8" t="s">
        <v>53</v>
      </c>
    </row>
    <row r="6" customFormat="false" ht="15" hidden="false" customHeight="false" outlineLevel="0" collapsed="false">
      <c r="A6" s="7" t="s">
        <v>251</v>
      </c>
      <c r="B6" s="7" t="s">
        <v>44</v>
      </c>
      <c r="C6" s="7" t="s">
        <v>45</v>
      </c>
      <c r="D6" s="7" t="s">
        <v>64</v>
      </c>
      <c r="E6" s="7" t="s">
        <v>48</v>
      </c>
      <c r="F6" s="7" t="s">
        <v>49</v>
      </c>
      <c r="G6" s="7" t="s">
        <v>52</v>
      </c>
      <c r="H6" s="7" t="s">
        <v>65</v>
      </c>
      <c r="I6" s="8" t="s">
        <v>59</v>
      </c>
    </row>
    <row r="7" customFormat="false" ht="15" hidden="false" customHeight="false" outlineLevel="0" collapsed="false">
      <c r="A7" s="7" t="s">
        <v>252</v>
      </c>
      <c r="B7" s="7" t="s">
        <v>62</v>
      </c>
      <c r="C7" s="7" t="s">
        <v>63</v>
      </c>
      <c r="D7" s="7" t="s">
        <v>64</v>
      </c>
      <c r="E7" s="7" t="s">
        <v>48</v>
      </c>
      <c r="F7" s="7" t="s">
        <v>49</v>
      </c>
      <c r="G7" s="7" t="s">
        <v>52</v>
      </c>
      <c r="H7" s="7" t="s">
        <v>65</v>
      </c>
      <c r="I7" s="8"/>
    </row>
    <row r="8" customFormat="false" ht="15" hidden="false" customHeight="false" outlineLevel="0" collapsed="false">
      <c r="A8" s="9" t="s">
        <v>253</v>
      </c>
      <c r="B8" s="9" t="s">
        <v>69</v>
      </c>
      <c r="C8" s="9" t="s">
        <v>70</v>
      </c>
      <c r="D8" s="9" t="s">
        <v>72</v>
      </c>
      <c r="E8" s="9" t="s">
        <v>73</v>
      </c>
      <c r="F8" s="9" t="s">
        <v>74</v>
      </c>
      <c r="G8" s="9" t="s">
        <v>52</v>
      </c>
      <c r="H8" s="9" t="s">
        <v>75</v>
      </c>
      <c r="I8" s="10" t="s">
        <v>254</v>
      </c>
    </row>
    <row r="9" customFormat="false" ht="15" hidden="false" customHeight="false" outlineLevel="0" collapsed="false">
      <c r="A9" s="11" t="s">
        <v>255</v>
      </c>
      <c r="B9" s="11" t="s">
        <v>79</v>
      </c>
      <c r="C9" s="11" t="s">
        <v>70</v>
      </c>
      <c r="D9" s="11" t="s">
        <v>80</v>
      </c>
      <c r="E9" s="11" t="s">
        <v>81</v>
      </c>
      <c r="F9" s="11" t="s">
        <v>82</v>
      </c>
      <c r="G9" s="11" t="s">
        <v>52</v>
      </c>
      <c r="H9" s="11" t="s">
        <v>256</v>
      </c>
      <c r="I9" s="12" t="s">
        <v>257</v>
      </c>
    </row>
    <row r="10" customFormat="false" ht="15" hidden="false" customHeight="false" outlineLevel="0" collapsed="false">
      <c r="A10" s="11" t="s">
        <v>258</v>
      </c>
      <c r="B10" s="11" t="s">
        <v>88</v>
      </c>
      <c r="C10" s="11" t="s">
        <v>89</v>
      </c>
      <c r="D10" s="11" t="s">
        <v>91</v>
      </c>
      <c r="E10" s="11" t="s">
        <v>81</v>
      </c>
      <c r="F10" s="11" t="s">
        <v>92</v>
      </c>
      <c r="G10" s="11" t="s">
        <v>95</v>
      </c>
      <c r="H10" s="11" t="s">
        <v>93</v>
      </c>
      <c r="I10" s="12" t="s">
        <v>259</v>
      </c>
    </row>
    <row r="11" customFormat="false" ht="15" hidden="false" customHeight="false" outlineLevel="0" collapsed="false">
      <c r="A11" s="11" t="s">
        <v>260</v>
      </c>
      <c r="B11" s="11" t="s">
        <v>88</v>
      </c>
      <c r="C11" s="11" t="s">
        <v>89</v>
      </c>
      <c r="D11" s="11" t="s">
        <v>99</v>
      </c>
      <c r="E11" s="11" t="s">
        <v>81</v>
      </c>
      <c r="F11" s="11" t="s">
        <v>92</v>
      </c>
      <c r="G11" s="11" t="s">
        <v>95</v>
      </c>
      <c r="H11" s="11" t="s">
        <v>100</v>
      </c>
      <c r="I11" s="12"/>
    </row>
    <row r="12" customFormat="false" ht="15" hidden="false" customHeight="false" outlineLevel="0" collapsed="false">
      <c r="A12" s="11" t="s">
        <v>261</v>
      </c>
      <c r="B12" s="11" t="s">
        <v>103</v>
      </c>
      <c r="C12" s="11" t="s">
        <v>92</v>
      </c>
      <c r="D12" s="11" t="s">
        <v>99</v>
      </c>
      <c r="E12" s="11" t="s">
        <v>81</v>
      </c>
      <c r="F12" s="11" t="s">
        <v>92</v>
      </c>
      <c r="G12" s="11" t="s">
        <v>95</v>
      </c>
      <c r="H12" s="11" t="s">
        <v>100</v>
      </c>
      <c r="I12" s="12" t="s">
        <v>262</v>
      </c>
    </row>
    <row r="13" customFormat="false" ht="15" hidden="false" customHeight="false" outlineLevel="0" collapsed="false">
      <c r="A13" s="11" t="s">
        <v>263</v>
      </c>
      <c r="B13" s="11" t="s">
        <v>108</v>
      </c>
      <c r="C13" s="11" t="s">
        <v>109</v>
      </c>
      <c r="D13" s="11" t="s">
        <v>110</v>
      </c>
      <c r="E13" s="11" t="s">
        <v>81</v>
      </c>
      <c r="F13" s="11" t="s">
        <v>92</v>
      </c>
      <c r="G13" s="11" t="s">
        <v>95</v>
      </c>
      <c r="H13" s="11" t="s">
        <v>100</v>
      </c>
      <c r="I13" s="12" t="s">
        <v>264</v>
      </c>
    </row>
    <row r="14" customFormat="false" ht="15" hidden="false" customHeight="false" outlineLevel="0" collapsed="false">
      <c r="A14" s="11" t="s">
        <v>265</v>
      </c>
      <c r="B14" s="11" t="s">
        <v>114</v>
      </c>
      <c r="C14" s="11" t="s">
        <v>124</v>
      </c>
      <c r="D14" s="11" t="s">
        <v>117</v>
      </c>
      <c r="E14" s="11" t="s">
        <v>81</v>
      </c>
      <c r="F14" s="11" t="s">
        <v>118</v>
      </c>
      <c r="G14" s="11" t="s">
        <v>95</v>
      </c>
      <c r="H14" s="11" t="s">
        <v>119</v>
      </c>
      <c r="I14" s="12" t="s">
        <v>121</v>
      </c>
    </row>
    <row r="15" customFormat="false" ht="15" hidden="false" customHeight="false" outlineLevel="0" collapsed="false">
      <c r="A15" s="11" t="s">
        <v>266</v>
      </c>
      <c r="B15" s="11" t="s">
        <v>114</v>
      </c>
      <c r="C15" s="11" t="s">
        <v>124</v>
      </c>
      <c r="D15" s="11" t="s">
        <v>110</v>
      </c>
      <c r="E15" s="11" t="s">
        <v>81</v>
      </c>
      <c r="F15" s="11" t="s">
        <v>92</v>
      </c>
      <c r="G15" s="11" t="s">
        <v>95</v>
      </c>
      <c r="H15" s="11" t="s">
        <v>100</v>
      </c>
      <c r="I15" s="12" t="s">
        <v>267</v>
      </c>
    </row>
    <row r="16" customFormat="false" ht="15" hidden="false" customHeight="false" outlineLevel="0" collapsed="false">
      <c r="A16" s="9" t="s">
        <v>268</v>
      </c>
      <c r="B16" s="9" t="s">
        <v>127</v>
      </c>
      <c r="C16" s="9" t="s">
        <v>128</v>
      </c>
      <c r="D16" s="9" t="s">
        <v>269</v>
      </c>
      <c r="E16" s="9" t="s">
        <v>131</v>
      </c>
      <c r="F16" s="9" t="s">
        <v>132</v>
      </c>
      <c r="G16" s="9" t="s">
        <v>95</v>
      </c>
      <c r="H16" s="9" t="s">
        <v>133</v>
      </c>
      <c r="I16" s="10" t="s">
        <v>270</v>
      </c>
    </row>
    <row r="17" customFormat="false" ht="15" hidden="false" customHeight="false" outlineLevel="0" collapsed="false">
      <c r="A17" s="9" t="s">
        <v>271</v>
      </c>
      <c r="B17" s="9" t="s">
        <v>138</v>
      </c>
      <c r="C17" s="9" t="s">
        <v>139</v>
      </c>
      <c r="D17" s="9" t="s">
        <v>272</v>
      </c>
      <c r="E17" s="9" t="s">
        <v>131</v>
      </c>
      <c r="F17" s="9" t="s">
        <v>142</v>
      </c>
      <c r="G17" s="9" t="s">
        <v>95</v>
      </c>
      <c r="H17" s="9" t="s">
        <v>143</v>
      </c>
      <c r="I17" s="10" t="s">
        <v>273</v>
      </c>
    </row>
    <row r="18" customFormat="false" ht="15" hidden="false" customHeight="false" outlineLevel="0" collapsed="false">
      <c r="A18" s="13" t="s">
        <v>274</v>
      </c>
      <c r="B18" s="13" t="s">
        <v>148</v>
      </c>
      <c r="C18" s="13" t="s">
        <v>149</v>
      </c>
      <c r="D18" s="13" t="s">
        <v>151</v>
      </c>
      <c r="E18" s="13" t="s">
        <v>152</v>
      </c>
      <c r="F18" s="13" t="s">
        <v>142</v>
      </c>
      <c r="G18" s="13" t="s">
        <v>95</v>
      </c>
      <c r="H18" s="13" t="s">
        <v>143</v>
      </c>
      <c r="I18" s="14" t="s">
        <v>275</v>
      </c>
    </row>
    <row r="19" customFormat="false" ht="15" hidden="false" customHeight="false" outlineLevel="0" collapsed="false">
      <c r="A19" s="13" t="s">
        <v>276</v>
      </c>
      <c r="B19" s="13" t="s">
        <v>156</v>
      </c>
      <c r="C19" s="13" t="s">
        <v>149</v>
      </c>
      <c r="D19" s="13" t="s">
        <v>158</v>
      </c>
      <c r="E19" s="13" t="s">
        <v>152</v>
      </c>
      <c r="F19" s="13" t="s">
        <v>142</v>
      </c>
      <c r="G19" s="13" t="s">
        <v>95</v>
      </c>
      <c r="H19" s="13" t="s">
        <v>159</v>
      </c>
      <c r="I19" s="14" t="s">
        <v>277</v>
      </c>
    </row>
    <row r="20" customFormat="false" ht="15" hidden="false" customHeight="false" outlineLevel="0" collapsed="false">
      <c r="A20" s="11" t="s">
        <v>278</v>
      </c>
      <c r="B20" s="11" t="s">
        <v>156</v>
      </c>
      <c r="C20" s="11" t="s">
        <v>149</v>
      </c>
      <c r="D20" s="11" t="s">
        <v>164</v>
      </c>
      <c r="E20" s="11" t="s">
        <v>81</v>
      </c>
      <c r="F20" s="11" t="s">
        <v>49</v>
      </c>
      <c r="G20" s="11" t="s">
        <v>95</v>
      </c>
      <c r="H20" s="11" t="s">
        <v>165</v>
      </c>
      <c r="I20" s="12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3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38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280</v>
      </c>
    </row>
    <row r="2" customFormat="false" ht="15" hidden="false" customHeight="false" outlineLevel="0" collapsed="false">
      <c r="A2" s="5" t="s">
        <v>281</v>
      </c>
    </row>
    <row r="4" customFormat="false" ht="15" hidden="false" customHeight="false" outlineLevel="0" collapsed="false">
      <c r="A4" s="6" t="s">
        <v>248</v>
      </c>
      <c r="B4" s="6" t="s">
        <v>35</v>
      </c>
      <c r="C4" s="6" t="s">
        <v>36</v>
      </c>
      <c r="D4" s="6" t="s">
        <v>282</v>
      </c>
      <c r="E4" s="6" t="s">
        <v>283</v>
      </c>
      <c r="F4" s="6" t="s">
        <v>284</v>
      </c>
      <c r="G4" s="6" t="s">
        <v>37</v>
      </c>
      <c r="H4" s="6" t="s">
        <v>41</v>
      </c>
      <c r="I4" s="6" t="s">
        <v>32</v>
      </c>
      <c r="J4" s="6" t="s">
        <v>33</v>
      </c>
      <c r="K4" s="6" t="s">
        <v>285</v>
      </c>
      <c r="L4" s="6" t="s">
        <v>40</v>
      </c>
      <c r="M4" s="6" t="s">
        <v>286</v>
      </c>
    </row>
    <row r="5" customFormat="false" ht="15" hidden="false" customHeight="false" outlineLevel="0" collapsed="false">
      <c r="A5" s="11" t="s">
        <v>287</v>
      </c>
      <c r="B5" s="11" t="s">
        <v>288</v>
      </c>
      <c r="C5" s="11" t="s">
        <v>81</v>
      </c>
      <c r="D5" s="17" t="s">
        <v>289</v>
      </c>
      <c r="E5" s="18" t="s">
        <v>290</v>
      </c>
      <c r="F5" s="18" t="s">
        <v>291</v>
      </c>
      <c r="G5" s="11" t="s">
        <v>149</v>
      </c>
      <c r="H5" s="12" t="s">
        <v>292</v>
      </c>
      <c r="I5" s="11" t="s">
        <v>293</v>
      </c>
      <c r="J5" s="11" t="s">
        <v>169</v>
      </c>
      <c r="K5" s="12" t="s">
        <v>294</v>
      </c>
      <c r="L5" s="11" t="s">
        <v>95</v>
      </c>
      <c r="M5" s="12" t="s">
        <v>295</v>
      </c>
    </row>
    <row r="6" customFormat="false" ht="15" hidden="false" customHeight="false" outlineLevel="0" collapsed="false">
      <c r="A6" s="11" t="s">
        <v>296</v>
      </c>
      <c r="B6" s="11" t="s">
        <v>297</v>
      </c>
      <c r="C6" s="11" t="s">
        <v>81</v>
      </c>
      <c r="D6" s="17" t="s">
        <v>289</v>
      </c>
      <c r="E6" s="18" t="s">
        <v>290</v>
      </c>
      <c r="F6" s="18" t="s">
        <v>291</v>
      </c>
      <c r="G6" s="11" t="s">
        <v>169</v>
      </c>
      <c r="H6" s="12" t="s">
        <v>298</v>
      </c>
      <c r="I6" s="11" t="s">
        <v>299</v>
      </c>
      <c r="J6" s="11" t="s">
        <v>169</v>
      </c>
      <c r="K6" s="12" t="s">
        <v>300</v>
      </c>
      <c r="L6" s="11" t="s">
        <v>95</v>
      </c>
      <c r="M6" s="12"/>
    </row>
    <row r="7" customFormat="false" ht="15" hidden="false" customHeight="false" outlineLevel="0" collapsed="false">
      <c r="A7" s="11" t="s">
        <v>301</v>
      </c>
      <c r="B7" s="11" t="s">
        <v>302</v>
      </c>
      <c r="C7" s="11" t="s">
        <v>81</v>
      </c>
      <c r="D7" s="17" t="s">
        <v>289</v>
      </c>
      <c r="E7" s="19" t="s">
        <v>303</v>
      </c>
      <c r="F7" s="18" t="s">
        <v>291</v>
      </c>
      <c r="G7" s="11" t="s">
        <v>49</v>
      </c>
      <c r="H7" s="12" t="s">
        <v>304</v>
      </c>
      <c r="I7" s="11" t="s">
        <v>299</v>
      </c>
      <c r="J7" s="11" t="s">
        <v>169</v>
      </c>
      <c r="K7" s="12" t="s">
        <v>300</v>
      </c>
      <c r="L7" s="11" t="s">
        <v>95</v>
      </c>
      <c r="M7" s="12" t="s">
        <v>305</v>
      </c>
    </row>
    <row r="8" customFormat="false" ht="15" hidden="false" customHeight="false" outlineLevel="0" collapsed="false">
      <c r="A8" s="11" t="s">
        <v>306</v>
      </c>
      <c r="B8" s="11" t="s">
        <v>307</v>
      </c>
      <c r="C8" s="11" t="s">
        <v>81</v>
      </c>
      <c r="D8" s="17" t="s">
        <v>289</v>
      </c>
      <c r="E8" s="18" t="s">
        <v>290</v>
      </c>
      <c r="F8" s="17" t="s">
        <v>289</v>
      </c>
      <c r="G8" s="11" t="s">
        <v>189</v>
      </c>
      <c r="H8" s="12" t="s">
        <v>308</v>
      </c>
      <c r="I8" s="11" t="s">
        <v>299</v>
      </c>
      <c r="J8" s="11" t="s">
        <v>169</v>
      </c>
      <c r="K8" s="12" t="s">
        <v>309</v>
      </c>
      <c r="L8" s="11" t="s">
        <v>95</v>
      </c>
      <c r="M8" s="12" t="s">
        <v>310</v>
      </c>
    </row>
    <row r="9" customFormat="false" ht="15" hidden="false" customHeight="false" outlineLevel="0" collapsed="false">
      <c r="A9" s="11" t="s">
        <v>311</v>
      </c>
      <c r="B9" s="11" t="s">
        <v>307</v>
      </c>
      <c r="C9" s="11" t="s">
        <v>81</v>
      </c>
      <c r="D9" s="17" t="s">
        <v>289</v>
      </c>
      <c r="E9" s="18" t="s">
        <v>290</v>
      </c>
      <c r="F9" s="17" t="s">
        <v>289</v>
      </c>
      <c r="G9" s="11" t="s">
        <v>189</v>
      </c>
      <c r="H9" s="12" t="s">
        <v>312</v>
      </c>
      <c r="I9" s="11" t="s">
        <v>313</v>
      </c>
      <c r="J9" s="11" t="s">
        <v>189</v>
      </c>
      <c r="K9" s="12" t="s">
        <v>309</v>
      </c>
      <c r="L9" s="11" t="s">
        <v>95</v>
      </c>
      <c r="M9" s="12" t="s">
        <v>314</v>
      </c>
    </row>
    <row r="10" customFormat="false" ht="15" hidden="false" customHeight="false" outlineLevel="0" collapsed="false">
      <c r="A10" s="11" t="s">
        <v>315</v>
      </c>
      <c r="B10" s="11" t="s">
        <v>316</v>
      </c>
      <c r="C10" s="11" t="s">
        <v>81</v>
      </c>
      <c r="D10" s="17" t="s">
        <v>289</v>
      </c>
      <c r="E10" s="18" t="s">
        <v>290</v>
      </c>
      <c r="F10" s="17" t="s">
        <v>289</v>
      </c>
      <c r="G10" s="11" t="s">
        <v>189</v>
      </c>
      <c r="H10" s="12" t="s">
        <v>317</v>
      </c>
      <c r="I10" s="11" t="s">
        <v>313</v>
      </c>
      <c r="J10" s="11" t="s">
        <v>189</v>
      </c>
      <c r="K10" s="12" t="s">
        <v>309</v>
      </c>
      <c r="L10" s="11" t="s">
        <v>200</v>
      </c>
      <c r="M10" s="12" t="s">
        <v>318</v>
      </c>
    </row>
    <row r="11" customFormat="false" ht="15" hidden="false" customHeight="false" outlineLevel="0" collapsed="false">
      <c r="A11" s="11" t="s">
        <v>319</v>
      </c>
      <c r="B11" s="11" t="s">
        <v>316</v>
      </c>
      <c r="C11" s="11" t="s">
        <v>81</v>
      </c>
      <c r="D11" s="17" t="s">
        <v>289</v>
      </c>
      <c r="E11" s="18" t="s">
        <v>290</v>
      </c>
      <c r="F11" s="17" t="s">
        <v>289</v>
      </c>
      <c r="G11" s="11" t="s">
        <v>189</v>
      </c>
      <c r="H11" s="12" t="s">
        <v>320</v>
      </c>
      <c r="I11" s="11" t="s">
        <v>321</v>
      </c>
      <c r="J11" s="11" t="s">
        <v>322</v>
      </c>
      <c r="K11" s="12" t="s">
        <v>309</v>
      </c>
      <c r="L11" s="11" t="s">
        <v>200</v>
      </c>
      <c r="M11" s="12" t="s">
        <v>323</v>
      </c>
    </row>
    <row r="12" customFormat="false" ht="15" hidden="false" customHeight="false" outlineLevel="0" collapsed="false">
      <c r="A12" s="11" t="s">
        <v>324</v>
      </c>
      <c r="B12" s="11" t="s">
        <v>325</v>
      </c>
      <c r="C12" s="11" t="s">
        <v>81</v>
      </c>
      <c r="D12" s="17" t="s">
        <v>289</v>
      </c>
      <c r="E12" s="18" t="s">
        <v>290</v>
      </c>
      <c r="F12" s="17" t="s">
        <v>289</v>
      </c>
      <c r="G12" s="11" t="s">
        <v>49</v>
      </c>
      <c r="H12" s="12" t="s">
        <v>326</v>
      </c>
      <c r="I12" s="11" t="s">
        <v>327</v>
      </c>
      <c r="J12" s="11" t="s">
        <v>322</v>
      </c>
      <c r="K12" s="12" t="s">
        <v>309</v>
      </c>
      <c r="L12" s="11" t="s">
        <v>200</v>
      </c>
      <c r="M12" s="12" t="s">
        <v>328</v>
      </c>
    </row>
    <row r="13" customFormat="false" ht="15" hidden="false" customHeight="false" outlineLevel="0" collapsed="false">
      <c r="A13" s="11" t="s">
        <v>329</v>
      </c>
      <c r="B13" s="11" t="s">
        <v>325</v>
      </c>
      <c r="C13" s="11" t="s">
        <v>81</v>
      </c>
      <c r="D13" s="17" t="s">
        <v>289</v>
      </c>
      <c r="E13" s="18" t="s">
        <v>290</v>
      </c>
      <c r="F13" s="17" t="s">
        <v>289</v>
      </c>
      <c r="G13" s="11" t="s">
        <v>49</v>
      </c>
      <c r="H13" s="12"/>
      <c r="I13" s="11" t="s">
        <v>330</v>
      </c>
      <c r="J13" s="11" t="s">
        <v>322</v>
      </c>
      <c r="K13" s="12" t="s">
        <v>309</v>
      </c>
      <c r="L13" s="11" t="s">
        <v>200</v>
      </c>
      <c r="M13" s="12"/>
    </row>
    <row r="14" customFormat="false" ht="15" hidden="false" customHeight="false" outlineLevel="0" collapsed="false">
      <c r="A14" s="15" t="s">
        <v>331</v>
      </c>
      <c r="B14" s="15" t="s">
        <v>217</v>
      </c>
      <c r="C14" s="15" t="s">
        <v>218</v>
      </c>
      <c r="D14" s="20" t="s">
        <v>289</v>
      </c>
      <c r="E14" s="21" t="s">
        <v>303</v>
      </c>
      <c r="F14" s="20" t="s">
        <v>289</v>
      </c>
      <c r="G14" s="15" t="s">
        <v>332</v>
      </c>
      <c r="H14" s="16" t="s">
        <v>333</v>
      </c>
      <c r="I14" s="15" t="s">
        <v>327</v>
      </c>
      <c r="J14" s="15" t="s">
        <v>322</v>
      </c>
      <c r="K14" s="16" t="s">
        <v>309</v>
      </c>
      <c r="L14" s="15" t="s">
        <v>200</v>
      </c>
      <c r="M14" s="16" t="s">
        <v>334</v>
      </c>
    </row>
    <row r="15" customFormat="false" ht="23.85" hidden="false" customHeight="false" outlineLevel="0" collapsed="false">
      <c r="A15" s="15" t="s">
        <v>335</v>
      </c>
      <c r="B15" s="15" t="s">
        <v>226</v>
      </c>
      <c r="C15" s="15" t="s">
        <v>218</v>
      </c>
      <c r="D15" s="20" t="s">
        <v>289</v>
      </c>
      <c r="E15" s="21" t="s">
        <v>303</v>
      </c>
      <c r="F15" s="20" t="s">
        <v>289</v>
      </c>
      <c r="G15" s="15" t="s">
        <v>49</v>
      </c>
      <c r="H15" s="16" t="s">
        <v>336</v>
      </c>
      <c r="I15" s="15" t="s">
        <v>337</v>
      </c>
      <c r="J15" s="15" t="s">
        <v>322</v>
      </c>
      <c r="K15" s="16" t="s">
        <v>338</v>
      </c>
      <c r="L15" s="15" t="s">
        <v>200</v>
      </c>
      <c r="M15" s="16" t="s">
        <v>339</v>
      </c>
    </row>
    <row r="16" customFormat="false" ht="23.85" hidden="false" customHeight="false" outlineLevel="0" collapsed="false">
      <c r="A16" s="11" t="s">
        <v>340</v>
      </c>
      <c r="B16" s="11" t="s">
        <v>341</v>
      </c>
      <c r="C16" s="11" t="s">
        <v>81</v>
      </c>
      <c r="D16" s="17" t="s">
        <v>289</v>
      </c>
      <c r="E16" s="18" t="s">
        <v>290</v>
      </c>
      <c r="F16" s="17" t="s">
        <v>289</v>
      </c>
      <c r="G16" s="11" t="s">
        <v>189</v>
      </c>
      <c r="H16" s="12" t="s">
        <v>342</v>
      </c>
      <c r="I16" s="11" t="s">
        <v>343</v>
      </c>
      <c r="J16" s="11" t="s">
        <v>322</v>
      </c>
      <c r="K16" s="12" t="s">
        <v>344</v>
      </c>
      <c r="L16" s="11" t="s">
        <v>200</v>
      </c>
      <c r="M16" s="12"/>
    </row>
    <row r="17" customFormat="false" ht="23.85" hidden="false" customHeight="false" outlineLevel="0" collapsed="false">
      <c r="A17" s="11" t="s">
        <v>345</v>
      </c>
      <c r="B17" s="11" t="s">
        <v>341</v>
      </c>
      <c r="C17" s="11" t="s">
        <v>81</v>
      </c>
      <c r="D17" s="17" t="s">
        <v>289</v>
      </c>
      <c r="E17" s="18" t="s">
        <v>290</v>
      </c>
      <c r="F17" s="17" t="s">
        <v>289</v>
      </c>
      <c r="G17" s="11" t="s">
        <v>189</v>
      </c>
      <c r="H17" s="12" t="s">
        <v>346</v>
      </c>
      <c r="I17" s="11" t="s">
        <v>337</v>
      </c>
      <c r="J17" s="11" t="s">
        <v>322</v>
      </c>
      <c r="K17" s="12" t="s">
        <v>344</v>
      </c>
      <c r="L17" s="11" t="s">
        <v>200</v>
      </c>
      <c r="M17" s="12" t="s">
        <v>347</v>
      </c>
    </row>
    <row r="18" customFormat="false" ht="23.85" hidden="false" customHeight="false" outlineLevel="0" collapsed="false">
      <c r="A18" s="15" t="s">
        <v>348</v>
      </c>
      <c r="B18" s="15" t="s">
        <v>226</v>
      </c>
      <c r="C18" s="15" t="s">
        <v>218</v>
      </c>
      <c r="D18" s="20" t="s">
        <v>289</v>
      </c>
      <c r="E18" s="21" t="s">
        <v>303</v>
      </c>
      <c r="F18" s="20" t="s">
        <v>289</v>
      </c>
      <c r="G18" s="15" t="s">
        <v>49</v>
      </c>
      <c r="H18" s="16" t="s">
        <v>349</v>
      </c>
      <c r="I18" s="15" t="s">
        <v>343</v>
      </c>
      <c r="J18" s="15" t="s">
        <v>322</v>
      </c>
      <c r="K18" s="16" t="s">
        <v>344</v>
      </c>
      <c r="L18" s="15" t="s">
        <v>200</v>
      </c>
      <c r="M18" s="16" t="s">
        <v>334</v>
      </c>
    </row>
    <row r="19" customFormat="false" ht="15" hidden="false" customHeight="false" outlineLevel="0" collapsed="false">
      <c r="A19" s="15" t="s">
        <v>350</v>
      </c>
      <c r="B19" s="15" t="s">
        <v>243</v>
      </c>
      <c r="C19" s="15" t="s">
        <v>218</v>
      </c>
      <c r="D19" s="20" t="s">
        <v>289</v>
      </c>
      <c r="E19" s="22" t="s">
        <v>351</v>
      </c>
      <c r="F19" s="22" t="s">
        <v>352</v>
      </c>
      <c r="G19" s="15" t="s">
        <v>49</v>
      </c>
      <c r="H19" s="16" t="s">
        <v>353</v>
      </c>
      <c r="I19" s="15" t="s">
        <v>354</v>
      </c>
      <c r="J19" s="15" t="s">
        <v>241</v>
      </c>
      <c r="K19" s="16" t="s">
        <v>355</v>
      </c>
      <c r="L19" s="15" t="s">
        <v>200</v>
      </c>
      <c r="M19" s="16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40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1" t="s">
        <v>357</v>
      </c>
    </row>
    <row r="2" customFormat="false" ht="15" hidden="false" customHeight="false" outlineLevel="0" collapsed="false">
      <c r="A2" s="5" t="s">
        <v>358</v>
      </c>
    </row>
    <row r="4" customFormat="false" ht="15" hidden="false" customHeight="false" outlineLevel="0" collapsed="false">
      <c r="A4" s="6" t="s">
        <v>32</v>
      </c>
      <c r="B4" s="6" t="s">
        <v>31</v>
      </c>
      <c r="C4" s="6" t="s">
        <v>359</v>
      </c>
      <c r="D4" s="6" t="s">
        <v>360</v>
      </c>
      <c r="E4" s="6" t="s">
        <v>41</v>
      </c>
      <c r="F4" s="6" t="s">
        <v>361</v>
      </c>
    </row>
    <row r="5" customFormat="false" ht="15" hidden="false" customHeight="false" outlineLevel="0" collapsed="false">
      <c r="A5" s="23" t="s">
        <v>44</v>
      </c>
      <c r="B5" s="23" t="s">
        <v>43</v>
      </c>
      <c r="C5" s="23" t="s">
        <v>42</v>
      </c>
      <c r="D5" s="23" t="s">
        <v>45</v>
      </c>
      <c r="E5" s="24" t="s">
        <v>362</v>
      </c>
      <c r="F5" s="24" t="s">
        <v>363</v>
      </c>
    </row>
    <row r="6" customFormat="false" ht="15" hidden="false" customHeight="false" outlineLevel="0" collapsed="false">
      <c r="A6" s="23" t="s">
        <v>62</v>
      </c>
      <c r="B6" s="23" t="s">
        <v>61</v>
      </c>
      <c r="C6" s="23" t="s">
        <v>60</v>
      </c>
      <c r="D6" s="23" t="s">
        <v>63</v>
      </c>
      <c r="E6" s="24"/>
      <c r="F6" s="24" t="s">
        <v>364</v>
      </c>
    </row>
    <row r="7" customFormat="false" ht="15" hidden="false" customHeight="false" outlineLevel="0" collapsed="false">
      <c r="A7" s="23" t="s">
        <v>69</v>
      </c>
      <c r="B7" s="23" t="s">
        <v>68</v>
      </c>
      <c r="C7" s="23" t="s">
        <v>67</v>
      </c>
      <c r="D7" s="23" t="s">
        <v>70</v>
      </c>
      <c r="E7" s="24" t="s">
        <v>71</v>
      </c>
      <c r="F7" s="24" t="s">
        <v>365</v>
      </c>
    </row>
    <row r="8" customFormat="false" ht="15" hidden="false" customHeight="false" outlineLevel="0" collapsed="false">
      <c r="A8" s="23" t="s">
        <v>79</v>
      </c>
      <c r="B8" s="23" t="s">
        <v>78</v>
      </c>
      <c r="C8" s="23" t="s">
        <v>77</v>
      </c>
      <c r="D8" s="23" t="s">
        <v>70</v>
      </c>
      <c r="E8" s="24"/>
      <c r="F8" s="24" t="s">
        <v>366</v>
      </c>
    </row>
    <row r="9" customFormat="false" ht="15" hidden="false" customHeight="false" outlineLevel="0" collapsed="false">
      <c r="A9" s="23" t="s">
        <v>88</v>
      </c>
      <c r="B9" s="23" t="s">
        <v>87</v>
      </c>
      <c r="C9" s="23" t="s">
        <v>86</v>
      </c>
      <c r="D9" s="23" t="s">
        <v>89</v>
      </c>
      <c r="E9" s="24" t="s">
        <v>90</v>
      </c>
      <c r="F9" s="24" t="s">
        <v>367</v>
      </c>
    </row>
    <row r="10" customFormat="false" ht="15" hidden="false" customHeight="false" outlineLevel="0" collapsed="false">
      <c r="A10" s="23" t="s">
        <v>103</v>
      </c>
      <c r="B10" s="23" t="s">
        <v>98</v>
      </c>
      <c r="C10" s="23" t="s">
        <v>102</v>
      </c>
      <c r="D10" s="23" t="s">
        <v>92</v>
      </c>
      <c r="E10" s="24" t="s">
        <v>104</v>
      </c>
      <c r="F10" s="24" t="s">
        <v>368</v>
      </c>
    </row>
    <row r="11" customFormat="false" ht="15" hidden="false" customHeight="false" outlineLevel="0" collapsed="false">
      <c r="A11" s="23" t="s">
        <v>108</v>
      </c>
      <c r="B11" s="23" t="s">
        <v>107</v>
      </c>
      <c r="C11" s="23" t="s">
        <v>369</v>
      </c>
      <c r="D11" s="23" t="s">
        <v>109</v>
      </c>
      <c r="E11" s="24"/>
      <c r="F11" s="24" t="s">
        <v>370</v>
      </c>
    </row>
    <row r="12" customFormat="false" ht="15" hidden="false" customHeight="false" outlineLevel="0" collapsed="false">
      <c r="A12" s="23" t="s">
        <v>114</v>
      </c>
      <c r="B12" s="23" t="s">
        <v>113</v>
      </c>
      <c r="C12" s="23" t="s">
        <v>371</v>
      </c>
      <c r="D12" s="23" t="s">
        <v>115</v>
      </c>
      <c r="E12" s="24" t="s">
        <v>372</v>
      </c>
      <c r="F12" s="24" t="s">
        <v>373</v>
      </c>
    </row>
    <row r="13" customFormat="false" ht="15" hidden="false" customHeight="false" outlineLevel="0" collapsed="false">
      <c r="A13" s="23" t="s">
        <v>127</v>
      </c>
      <c r="B13" s="23" t="s">
        <v>123</v>
      </c>
      <c r="C13" s="23" t="s">
        <v>374</v>
      </c>
      <c r="D13" s="23" t="s">
        <v>128</v>
      </c>
      <c r="E13" s="24" t="s">
        <v>375</v>
      </c>
      <c r="F13" s="24" t="s">
        <v>376</v>
      </c>
    </row>
    <row r="14" customFormat="false" ht="15" hidden="false" customHeight="false" outlineLevel="0" collapsed="false">
      <c r="A14" s="23" t="s">
        <v>138</v>
      </c>
      <c r="B14" s="23" t="s">
        <v>137</v>
      </c>
      <c r="C14" s="23" t="s">
        <v>377</v>
      </c>
      <c r="D14" s="23" t="s">
        <v>139</v>
      </c>
      <c r="E14" s="24" t="s">
        <v>140</v>
      </c>
      <c r="F14" s="24" t="s">
        <v>378</v>
      </c>
    </row>
    <row r="15" customFormat="false" ht="15" hidden="false" customHeight="false" outlineLevel="0" collapsed="false">
      <c r="A15" s="23" t="s">
        <v>148</v>
      </c>
      <c r="B15" s="23" t="s">
        <v>147</v>
      </c>
      <c r="C15" s="23" t="s">
        <v>379</v>
      </c>
      <c r="D15" s="23" t="s">
        <v>149</v>
      </c>
      <c r="E15" s="24" t="s">
        <v>380</v>
      </c>
      <c r="F15" s="24" t="s">
        <v>381</v>
      </c>
    </row>
    <row r="16" customFormat="false" ht="15" hidden="false" customHeight="false" outlineLevel="0" collapsed="false">
      <c r="A16" s="23" t="s">
        <v>156</v>
      </c>
      <c r="B16" s="23" t="s">
        <v>155</v>
      </c>
      <c r="C16" s="23" t="s">
        <v>382</v>
      </c>
      <c r="D16" s="23" t="s">
        <v>157</v>
      </c>
      <c r="E16" s="24"/>
      <c r="F16" s="24" t="s">
        <v>383</v>
      </c>
    </row>
    <row r="17" customFormat="false" ht="15" hidden="false" customHeight="false" outlineLevel="0" collapsed="false">
      <c r="A17" s="23" t="s">
        <v>168</v>
      </c>
      <c r="B17" s="23" t="s">
        <v>163</v>
      </c>
      <c r="C17" s="23" t="s">
        <v>384</v>
      </c>
      <c r="D17" s="23" t="s">
        <v>169</v>
      </c>
      <c r="E17" s="24" t="s">
        <v>385</v>
      </c>
      <c r="F17" s="24" t="s">
        <v>386</v>
      </c>
    </row>
    <row r="18" customFormat="false" ht="15" hidden="false" customHeight="false" outlineLevel="0" collapsed="false">
      <c r="A18" s="23" t="s">
        <v>177</v>
      </c>
      <c r="B18" s="23" t="s">
        <v>176</v>
      </c>
      <c r="C18" s="23" t="s">
        <v>387</v>
      </c>
      <c r="D18" s="23" t="s">
        <v>178</v>
      </c>
      <c r="E18" s="24"/>
      <c r="F18" s="24" t="s">
        <v>388</v>
      </c>
    </row>
    <row r="19" customFormat="false" ht="15" hidden="false" customHeight="false" outlineLevel="0" collapsed="false">
      <c r="A19" s="23" t="s">
        <v>193</v>
      </c>
      <c r="B19" s="23" t="s">
        <v>182</v>
      </c>
      <c r="C19" s="23" t="s">
        <v>389</v>
      </c>
      <c r="D19" s="23" t="s">
        <v>194</v>
      </c>
      <c r="E19" s="24"/>
      <c r="F19" s="24" t="s">
        <v>390</v>
      </c>
    </row>
    <row r="20" customFormat="false" ht="15" hidden="false" customHeight="false" outlineLevel="0" collapsed="false">
      <c r="A20" s="23" t="s">
        <v>203</v>
      </c>
      <c r="B20" s="23" t="s">
        <v>197</v>
      </c>
      <c r="C20" s="23" t="s">
        <v>391</v>
      </c>
      <c r="D20" s="23" t="s">
        <v>204</v>
      </c>
      <c r="E20" s="24" t="s">
        <v>392</v>
      </c>
      <c r="F20" s="24" t="s">
        <v>393</v>
      </c>
    </row>
    <row r="21" customFormat="false" ht="15" hidden="false" customHeight="false" outlineLevel="0" collapsed="false">
      <c r="A21" s="23" t="s">
        <v>209</v>
      </c>
      <c r="B21" s="23" t="s">
        <v>208</v>
      </c>
      <c r="C21" s="23" t="s">
        <v>394</v>
      </c>
      <c r="D21" s="23" t="s">
        <v>210</v>
      </c>
      <c r="E21" s="24"/>
      <c r="F21" s="24" t="s">
        <v>395</v>
      </c>
    </row>
    <row r="22" customFormat="false" ht="15" hidden="false" customHeight="false" outlineLevel="0" collapsed="false">
      <c r="A22" s="23" t="s">
        <v>214</v>
      </c>
      <c r="B22" s="23" t="s">
        <v>208</v>
      </c>
      <c r="C22" s="23" t="s">
        <v>396</v>
      </c>
      <c r="D22" s="23" t="s">
        <v>210</v>
      </c>
      <c r="E22" s="24"/>
      <c r="F22" s="24" t="s">
        <v>397</v>
      </c>
    </row>
    <row r="23" customFormat="false" ht="15" hidden="false" customHeight="false" outlineLevel="0" collapsed="false">
      <c r="A23" s="23" t="s">
        <v>231</v>
      </c>
      <c r="B23" s="23" t="s">
        <v>398</v>
      </c>
      <c r="C23" s="23" t="s">
        <v>230</v>
      </c>
      <c r="D23" s="23" t="s">
        <v>225</v>
      </c>
      <c r="E23" s="24"/>
      <c r="F23" s="24" t="s">
        <v>399</v>
      </c>
    </row>
    <row r="24" customFormat="false" ht="15" hidden="false" customHeight="false" outlineLevel="0" collapsed="false">
      <c r="A24" s="23" t="s">
        <v>224</v>
      </c>
      <c r="B24" s="23" t="s">
        <v>398</v>
      </c>
      <c r="C24" s="23" t="s">
        <v>222</v>
      </c>
      <c r="D24" s="23" t="s">
        <v>225</v>
      </c>
      <c r="E24" s="24"/>
      <c r="F24" s="24" t="s">
        <v>400</v>
      </c>
    </row>
    <row r="25" customFormat="false" ht="15" hidden="false" customHeight="false" outlineLevel="0" collapsed="false">
      <c r="A25" s="23" t="s">
        <v>240</v>
      </c>
      <c r="B25" s="23" t="s">
        <v>236</v>
      </c>
      <c r="C25" s="23" t="s">
        <v>238</v>
      </c>
      <c r="D25" s="23" t="s">
        <v>241</v>
      </c>
      <c r="E25" s="24" t="s">
        <v>401</v>
      </c>
      <c r="F25" s="24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22"/>
    <col collapsed="false" customWidth="true" hidden="false" outlineLevel="0" max="9" min="9" style="0" width="44"/>
  </cols>
  <sheetData>
    <row r="1" customFormat="false" ht="17.35" hidden="false" customHeight="false" outlineLevel="0" collapsed="false">
      <c r="A1" s="1" t="s">
        <v>403</v>
      </c>
    </row>
    <row r="2" customFormat="false" ht="15" hidden="false" customHeight="false" outlineLevel="0" collapsed="false">
      <c r="A2" s="5" t="s">
        <v>404</v>
      </c>
    </row>
    <row r="4" customFormat="false" ht="15" hidden="false" customHeight="false" outlineLevel="0" collapsed="false">
      <c r="A4" s="6" t="s">
        <v>35</v>
      </c>
      <c r="B4" s="6" t="s">
        <v>36</v>
      </c>
      <c r="C4" s="6" t="s">
        <v>405</v>
      </c>
      <c r="D4" s="6" t="s">
        <v>406</v>
      </c>
      <c r="E4" s="6" t="s">
        <v>39</v>
      </c>
      <c r="F4" s="6" t="s">
        <v>407</v>
      </c>
      <c r="G4" s="6" t="s">
        <v>284</v>
      </c>
      <c r="H4" s="6" t="s">
        <v>359</v>
      </c>
      <c r="I4" s="6" t="s">
        <v>41</v>
      </c>
    </row>
    <row r="5" customFormat="false" ht="15" hidden="false" customHeight="false" outlineLevel="0" collapsed="false">
      <c r="A5" s="7" t="s">
        <v>47</v>
      </c>
      <c r="B5" s="7" t="s">
        <v>48</v>
      </c>
      <c r="C5" s="7" t="s">
        <v>49</v>
      </c>
      <c r="D5" s="7" t="s">
        <v>408</v>
      </c>
      <c r="E5" s="7" t="s">
        <v>51</v>
      </c>
      <c r="F5" s="25" t="s">
        <v>291</v>
      </c>
      <c r="G5" s="25" t="s">
        <v>291</v>
      </c>
      <c r="H5" s="7" t="s">
        <v>250</v>
      </c>
      <c r="I5" s="8" t="s">
        <v>409</v>
      </c>
    </row>
    <row r="6" customFormat="false" ht="15" hidden="false" customHeight="false" outlineLevel="0" collapsed="false">
      <c r="A6" s="7" t="s">
        <v>56</v>
      </c>
      <c r="B6" s="7" t="s">
        <v>48</v>
      </c>
      <c r="C6" s="7" t="s">
        <v>49</v>
      </c>
      <c r="D6" s="7" t="s">
        <v>410</v>
      </c>
      <c r="E6" s="7" t="s">
        <v>66</v>
      </c>
      <c r="F6" s="25" t="s">
        <v>291</v>
      </c>
      <c r="G6" s="25" t="s">
        <v>291</v>
      </c>
      <c r="H6" s="7" t="s">
        <v>54</v>
      </c>
      <c r="I6" s="8"/>
    </row>
    <row r="7" customFormat="false" ht="15" hidden="false" customHeight="false" outlineLevel="0" collapsed="false">
      <c r="A7" s="7" t="s">
        <v>411</v>
      </c>
      <c r="B7" s="7" t="s">
        <v>48</v>
      </c>
      <c r="C7" s="7" t="s">
        <v>49</v>
      </c>
      <c r="D7" s="7" t="s">
        <v>412</v>
      </c>
      <c r="E7" s="7" t="s">
        <v>66</v>
      </c>
      <c r="F7" s="25" t="s">
        <v>291</v>
      </c>
      <c r="G7" s="25" t="s">
        <v>291</v>
      </c>
      <c r="H7" s="7" t="s">
        <v>413</v>
      </c>
      <c r="I7" s="8"/>
    </row>
    <row r="8" customFormat="false" ht="15" hidden="false" customHeight="false" outlineLevel="0" collapsed="false">
      <c r="A8" s="11" t="s">
        <v>414</v>
      </c>
      <c r="B8" s="11" t="s">
        <v>81</v>
      </c>
      <c r="C8" s="11" t="s">
        <v>70</v>
      </c>
      <c r="D8" s="11" t="s">
        <v>415</v>
      </c>
      <c r="E8" s="11" t="s">
        <v>416</v>
      </c>
      <c r="F8" s="18" t="s">
        <v>291</v>
      </c>
      <c r="G8" s="18" t="s">
        <v>291</v>
      </c>
      <c r="H8" s="11" t="s">
        <v>417</v>
      </c>
      <c r="I8" s="12" t="s">
        <v>418</v>
      </c>
    </row>
    <row r="9" customFormat="false" ht="15" hidden="false" customHeight="false" outlineLevel="0" collapsed="false">
      <c r="A9" s="11" t="s">
        <v>80</v>
      </c>
      <c r="B9" s="11" t="s">
        <v>81</v>
      </c>
      <c r="C9" s="11" t="s">
        <v>82</v>
      </c>
      <c r="D9" s="11" t="s">
        <v>419</v>
      </c>
      <c r="E9" s="11" t="s">
        <v>84</v>
      </c>
      <c r="F9" s="18" t="s">
        <v>291</v>
      </c>
      <c r="G9" s="18" t="s">
        <v>291</v>
      </c>
      <c r="H9" s="11" t="s">
        <v>77</v>
      </c>
      <c r="I9" s="12" t="s">
        <v>420</v>
      </c>
    </row>
    <row r="10" customFormat="false" ht="15" hidden="false" customHeight="false" outlineLevel="0" collapsed="false">
      <c r="A10" s="11" t="s">
        <v>421</v>
      </c>
      <c r="B10" s="11" t="s">
        <v>81</v>
      </c>
      <c r="C10" s="11" t="s">
        <v>92</v>
      </c>
      <c r="D10" s="11" t="s">
        <v>422</v>
      </c>
      <c r="E10" s="11" t="s">
        <v>423</v>
      </c>
      <c r="F10" s="18" t="s">
        <v>291</v>
      </c>
      <c r="G10" s="18" t="s">
        <v>291</v>
      </c>
      <c r="H10" s="11" t="s">
        <v>86</v>
      </c>
      <c r="I10" s="12" t="s">
        <v>424</v>
      </c>
    </row>
    <row r="11" customFormat="false" ht="15" hidden="false" customHeight="false" outlineLevel="0" collapsed="false">
      <c r="A11" s="11" t="s">
        <v>110</v>
      </c>
      <c r="B11" s="11" t="s">
        <v>81</v>
      </c>
      <c r="C11" s="11" t="s">
        <v>92</v>
      </c>
      <c r="D11" s="11" t="s">
        <v>100</v>
      </c>
      <c r="E11" s="11" t="s">
        <v>101</v>
      </c>
      <c r="F11" s="18" t="s">
        <v>291</v>
      </c>
      <c r="G11" s="18" t="s">
        <v>291</v>
      </c>
      <c r="H11" s="11" t="s">
        <v>369</v>
      </c>
      <c r="I11" s="12"/>
    </row>
    <row r="12" customFormat="false" ht="15" hidden="false" customHeight="false" outlineLevel="0" collapsed="false">
      <c r="A12" s="11" t="s">
        <v>117</v>
      </c>
      <c r="B12" s="11" t="s">
        <v>81</v>
      </c>
      <c r="C12" s="11" t="s">
        <v>118</v>
      </c>
      <c r="D12" s="11" t="s">
        <v>425</v>
      </c>
      <c r="E12" s="11" t="s">
        <v>120</v>
      </c>
      <c r="F12" s="18" t="s">
        <v>291</v>
      </c>
      <c r="G12" s="18" t="s">
        <v>291</v>
      </c>
      <c r="H12" s="11" t="s">
        <v>371</v>
      </c>
      <c r="I12" s="12"/>
    </row>
    <row r="13" customFormat="false" ht="15" hidden="false" customHeight="false" outlineLevel="0" collapsed="false">
      <c r="A13" s="11" t="s">
        <v>426</v>
      </c>
      <c r="B13" s="11" t="s">
        <v>81</v>
      </c>
      <c r="C13" s="11" t="s">
        <v>132</v>
      </c>
      <c r="D13" s="11" t="s">
        <v>427</v>
      </c>
      <c r="E13" s="11" t="s">
        <v>134</v>
      </c>
      <c r="F13" s="18" t="s">
        <v>291</v>
      </c>
      <c r="G13" s="18" t="s">
        <v>291</v>
      </c>
      <c r="H13" s="11" t="s">
        <v>428</v>
      </c>
      <c r="I13" s="12"/>
    </row>
    <row r="14" customFormat="false" ht="15" hidden="false" customHeight="false" outlineLevel="0" collapsed="false">
      <c r="A14" s="13" t="s">
        <v>429</v>
      </c>
      <c r="B14" s="13" t="s">
        <v>152</v>
      </c>
      <c r="C14" s="13" t="s">
        <v>132</v>
      </c>
      <c r="D14" s="13" t="s">
        <v>430</v>
      </c>
      <c r="E14" s="13" t="s">
        <v>134</v>
      </c>
      <c r="F14" s="26" t="s">
        <v>291</v>
      </c>
      <c r="G14" s="26" t="s">
        <v>291</v>
      </c>
      <c r="H14" s="13" t="s">
        <v>431</v>
      </c>
      <c r="I14" s="14" t="s">
        <v>432</v>
      </c>
    </row>
    <row r="15" customFormat="false" ht="15" hidden="false" customHeight="false" outlineLevel="0" collapsed="false">
      <c r="A15" s="11" t="s">
        <v>433</v>
      </c>
      <c r="B15" s="11" t="s">
        <v>81</v>
      </c>
      <c r="C15" s="11" t="s">
        <v>142</v>
      </c>
      <c r="D15" s="11" t="s">
        <v>143</v>
      </c>
      <c r="E15" s="11" t="s">
        <v>144</v>
      </c>
      <c r="F15" s="18" t="s">
        <v>291</v>
      </c>
      <c r="G15" s="18" t="s">
        <v>291</v>
      </c>
      <c r="H15" s="11" t="s">
        <v>434</v>
      </c>
      <c r="I15" s="12"/>
    </row>
    <row r="16" customFormat="false" ht="15" hidden="false" customHeight="false" outlineLevel="0" collapsed="false">
      <c r="A16" s="13" t="s">
        <v>435</v>
      </c>
      <c r="B16" s="13" t="s">
        <v>152</v>
      </c>
      <c r="C16" s="13" t="s">
        <v>142</v>
      </c>
      <c r="D16" s="13" t="s">
        <v>143</v>
      </c>
      <c r="E16" s="13" t="s">
        <v>144</v>
      </c>
      <c r="F16" s="26" t="s">
        <v>291</v>
      </c>
      <c r="G16" s="26" t="s">
        <v>291</v>
      </c>
      <c r="H16" s="13" t="s">
        <v>436</v>
      </c>
      <c r="I16" s="14"/>
    </row>
    <row r="17" customFormat="false" ht="15" hidden="false" customHeight="false" outlineLevel="0" collapsed="false">
      <c r="A17" s="13" t="s">
        <v>151</v>
      </c>
      <c r="B17" s="13" t="s">
        <v>152</v>
      </c>
      <c r="C17" s="13" t="s">
        <v>142</v>
      </c>
      <c r="D17" s="13" t="s">
        <v>143</v>
      </c>
      <c r="E17" s="13" t="s">
        <v>144</v>
      </c>
      <c r="F17" s="26" t="s">
        <v>291</v>
      </c>
      <c r="G17" s="26" t="s">
        <v>291</v>
      </c>
      <c r="H17" s="13" t="s">
        <v>379</v>
      </c>
      <c r="I17" s="14" t="s">
        <v>437</v>
      </c>
    </row>
    <row r="18" customFormat="false" ht="15" hidden="false" customHeight="false" outlineLevel="0" collapsed="false">
      <c r="A18" s="13" t="s">
        <v>158</v>
      </c>
      <c r="B18" s="13" t="s">
        <v>152</v>
      </c>
      <c r="C18" s="13" t="s">
        <v>142</v>
      </c>
      <c r="D18" s="13" t="s">
        <v>159</v>
      </c>
      <c r="E18" s="13" t="s">
        <v>160</v>
      </c>
      <c r="F18" s="26" t="s">
        <v>291</v>
      </c>
      <c r="G18" s="26" t="s">
        <v>291</v>
      </c>
      <c r="H18" s="13" t="s">
        <v>382</v>
      </c>
      <c r="I18" s="14" t="s">
        <v>438</v>
      </c>
    </row>
    <row r="19" customFormat="false" ht="15" hidden="false" customHeight="false" outlineLevel="0" collapsed="false">
      <c r="A19" s="11" t="s">
        <v>171</v>
      </c>
      <c r="B19" s="11" t="s">
        <v>81</v>
      </c>
      <c r="C19" s="11" t="s">
        <v>149</v>
      </c>
      <c r="D19" s="11" t="s">
        <v>439</v>
      </c>
      <c r="E19" s="11" t="s">
        <v>173</v>
      </c>
      <c r="F19" s="18" t="s">
        <v>290</v>
      </c>
      <c r="G19" s="18" t="s">
        <v>291</v>
      </c>
      <c r="H19" s="11" t="s">
        <v>384</v>
      </c>
      <c r="I19" s="12" t="s">
        <v>440</v>
      </c>
    </row>
    <row r="20" customFormat="false" ht="15" hidden="false" customHeight="false" outlineLevel="0" collapsed="false">
      <c r="A20" s="11" t="s">
        <v>183</v>
      </c>
      <c r="B20" s="11" t="s">
        <v>81</v>
      </c>
      <c r="C20" s="11" t="s">
        <v>49</v>
      </c>
      <c r="D20" s="11" t="s">
        <v>184</v>
      </c>
      <c r="E20" s="11" t="s">
        <v>49</v>
      </c>
      <c r="F20" s="19" t="s">
        <v>303</v>
      </c>
      <c r="G20" s="18" t="s">
        <v>291</v>
      </c>
      <c r="H20" s="11" t="s">
        <v>441</v>
      </c>
      <c r="I20" s="12"/>
    </row>
    <row r="21" customFormat="false" ht="15" hidden="false" customHeight="false" outlineLevel="0" collapsed="false">
      <c r="A21" s="11" t="s">
        <v>179</v>
      </c>
      <c r="B21" s="11" t="s">
        <v>81</v>
      </c>
      <c r="C21" s="11" t="s">
        <v>169</v>
      </c>
      <c r="D21" s="11" t="s">
        <v>439</v>
      </c>
      <c r="E21" s="11" t="s">
        <v>173</v>
      </c>
      <c r="F21" s="18" t="s">
        <v>290</v>
      </c>
      <c r="G21" s="18" t="s">
        <v>291</v>
      </c>
      <c r="H21" s="11" t="s">
        <v>387</v>
      </c>
      <c r="I21" s="12" t="s">
        <v>442</v>
      </c>
    </row>
    <row r="22" customFormat="false" ht="15" hidden="false" customHeight="false" outlineLevel="0" collapsed="false">
      <c r="A22" s="11" t="s">
        <v>188</v>
      </c>
      <c r="B22" s="11" t="s">
        <v>81</v>
      </c>
      <c r="C22" s="11" t="s">
        <v>189</v>
      </c>
      <c r="D22" s="11" t="s">
        <v>439</v>
      </c>
      <c r="E22" s="11" t="s">
        <v>190</v>
      </c>
      <c r="F22" s="18" t="s">
        <v>290</v>
      </c>
      <c r="G22" s="17" t="s">
        <v>289</v>
      </c>
      <c r="H22" s="11" t="s">
        <v>443</v>
      </c>
      <c r="I22" s="12" t="s">
        <v>444</v>
      </c>
    </row>
    <row r="23" customFormat="false" ht="15" hidden="false" customHeight="false" outlineLevel="0" collapsed="false">
      <c r="A23" s="11" t="s">
        <v>199</v>
      </c>
      <c r="B23" s="11" t="s">
        <v>81</v>
      </c>
      <c r="C23" s="11" t="s">
        <v>189</v>
      </c>
      <c r="D23" s="11" t="s">
        <v>439</v>
      </c>
      <c r="E23" s="11" t="s">
        <v>190</v>
      </c>
      <c r="F23" s="18" t="s">
        <v>290</v>
      </c>
      <c r="G23" s="17" t="s">
        <v>289</v>
      </c>
      <c r="H23" s="11" t="s">
        <v>445</v>
      </c>
      <c r="I23" s="12" t="s">
        <v>446</v>
      </c>
    </row>
    <row r="24" customFormat="false" ht="15" hidden="false" customHeight="false" outlineLevel="0" collapsed="false">
      <c r="A24" s="11" t="s">
        <v>447</v>
      </c>
      <c r="B24" s="11" t="s">
        <v>81</v>
      </c>
      <c r="C24" s="11" t="s">
        <v>49</v>
      </c>
      <c r="D24" s="11" t="s">
        <v>439</v>
      </c>
      <c r="E24" s="11" t="s">
        <v>49</v>
      </c>
      <c r="F24" s="18" t="s">
        <v>290</v>
      </c>
      <c r="G24" s="17" t="s">
        <v>289</v>
      </c>
      <c r="H24" s="11" t="s">
        <v>394</v>
      </c>
      <c r="I24" s="12" t="s">
        <v>448</v>
      </c>
    </row>
    <row r="25" customFormat="false" ht="15" hidden="false" customHeight="false" outlineLevel="0" collapsed="false">
      <c r="A25" s="15" t="s">
        <v>217</v>
      </c>
      <c r="B25" s="15" t="s">
        <v>218</v>
      </c>
      <c r="C25" s="15" t="s">
        <v>332</v>
      </c>
      <c r="D25" s="15" t="s">
        <v>184</v>
      </c>
      <c r="E25" s="15" t="s">
        <v>49</v>
      </c>
      <c r="F25" s="21" t="s">
        <v>303</v>
      </c>
      <c r="G25" s="20" t="s">
        <v>289</v>
      </c>
      <c r="H25" s="15" t="s">
        <v>215</v>
      </c>
      <c r="I25" s="16" t="s">
        <v>449</v>
      </c>
    </row>
    <row r="26" customFormat="false" ht="15" hidden="false" customHeight="false" outlineLevel="0" collapsed="false">
      <c r="A26" s="15" t="s">
        <v>226</v>
      </c>
      <c r="B26" s="15" t="s">
        <v>218</v>
      </c>
      <c r="C26" s="15" t="s">
        <v>450</v>
      </c>
      <c r="D26" s="15" t="s">
        <v>184</v>
      </c>
      <c r="E26" s="15" t="s">
        <v>228</v>
      </c>
      <c r="F26" s="21" t="s">
        <v>303</v>
      </c>
      <c r="G26" s="20" t="s">
        <v>289</v>
      </c>
      <c r="H26" s="15" t="s">
        <v>222</v>
      </c>
      <c r="I26" s="16" t="s">
        <v>451</v>
      </c>
    </row>
    <row r="27" customFormat="false" ht="15" hidden="false" customHeight="false" outlineLevel="0" collapsed="false">
      <c r="A27" s="11" t="s">
        <v>232</v>
      </c>
      <c r="B27" s="11" t="s">
        <v>81</v>
      </c>
      <c r="C27" s="11" t="s">
        <v>189</v>
      </c>
      <c r="D27" s="11" t="s">
        <v>439</v>
      </c>
      <c r="E27" s="11" t="s">
        <v>49</v>
      </c>
      <c r="F27" s="18" t="s">
        <v>290</v>
      </c>
      <c r="G27" s="17" t="s">
        <v>289</v>
      </c>
      <c r="H27" s="11" t="s">
        <v>230</v>
      </c>
      <c r="I27" s="12" t="s">
        <v>452</v>
      </c>
    </row>
    <row r="28" customFormat="false" ht="15" hidden="false" customHeight="false" outlineLevel="0" collapsed="false">
      <c r="A28" s="15" t="s">
        <v>243</v>
      </c>
      <c r="B28" s="15" t="s">
        <v>218</v>
      </c>
      <c r="C28" s="15" t="s">
        <v>49</v>
      </c>
      <c r="D28" s="15" t="s">
        <v>244</v>
      </c>
      <c r="E28" s="15" t="s">
        <v>49</v>
      </c>
      <c r="F28" s="22" t="s">
        <v>453</v>
      </c>
      <c r="G28" s="22" t="s">
        <v>352</v>
      </c>
      <c r="H28" s="15" t="s">
        <v>454</v>
      </c>
      <c r="I28" s="16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456</v>
      </c>
    </row>
    <row r="2" customFormat="false" ht="15" hidden="false" customHeight="false" outlineLevel="0" collapsed="false">
      <c r="A2" s="5" t="s">
        <v>457</v>
      </c>
    </row>
    <row r="4" customFormat="false" ht="15" hidden="false" customHeight="false" outlineLevel="0" collapsed="false">
      <c r="A4" s="6" t="s">
        <v>40</v>
      </c>
      <c r="B4" s="6" t="s">
        <v>458</v>
      </c>
      <c r="C4" s="6" t="s">
        <v>459</v>
      </c>
      <c r="D4" s="6" t="s">
        <v>460</v>
      </c>
      <c r="E4" s="6" t="s">
        <v>286</v>
      </c>
    </row>
    <row r="5" customFormat="false" ht="15" hidden="false" customHeight="false" outlineLevel="0" collapsed="false">
      <c r="A5" s="23" t="s">
        <v>461</v>
      </c>
      <c r="B5" s="23" t="s">
        <v>462</v>
      </c>
      <c r="C5" s="23" t="s">
        <v>42</v>
      </c>
      <c r="D5" s="23" t="s">
        <v>77</v>
      </c>
      <c r="E5" s="24" t="s">
        <v>463</v>
      </c>
    </row>
    <row r="6" customFormat="false" ht="15" hidden="false" customHeight="false" outlineLevel="0" collapsed="false">
      <c r="A6" s="23" t="s">
        <v>95</v>
      </c>
      <c r="B6" s="23" t="s">
        <v>464</v>
      </c>
      <c r="C6" s="23" t="s">
        <v>86</v>
      </c>
      <c r="D6" s="23" t="s">
        <v>465</v>
      </c>
      <c r="E6" s="24" t="s">
        <v>466</v>
      </c>
    </row>
    <row r="7" customFormat="false" ht="23.85" hidden="false" customHeight="false" outlineLevel="0" collapsed="false">
      <c r="A7" s="23" t="s">
        <v>200</v>
      </c>
      <c r="B7" s="23" t="s">
        <v>467</v>
      </c>
      <c r="C7" s="23" t="s">
        <v>445</v>
      </c>
      <c r="D7" s="23" t="s">
        <v>468</v>
      </c>
      <c r="E7" s="24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64"/>
  </cols>
  <sheetData>
    <row r="1" customFormat="false" ht="17.35" hidden="false" customHeight="false" outlineLevel="0" collapsed="false">
      <c r="A1" s="1" t="s">
        <v>470</v>
      </c>
    </row>
    <row r="2" customFormat="false" ht="15" hidden="false" customHeight="false" outlineLevel="0" collapsed="false">
      <c r="A2" s="5" t="s">
        <v>471</v>
      </c>
    </row>
    <row r="4" customFormat="false" ht="15" hidden="false" customHeight="false" outlineLevel="0" collapsed="false">
      <c r="A4" s="6" t="s">
        <v>472</v>
      </c>
      <c r="B4" s="6" t="s">
        <v>36</v>
      </c>
      <c r="C4" s="6" t="s">
        <v>473</v>
      </c>
      <c r="D4" s="6" t="s">
        <v>474</v>
      </c>
    </row>
    <row r="5" customFormat="false" ht="15" hidden="false" customHeight="false" outlineLevel="0" collapsed="false">
      <c r="A5" s="7" t="s">
        <v>475</v>
      </c>
      <c r="B5" s="7" t="s">
        <v>48</v>
      </c>
      <c r="C5" s="8" t="s">
        <v>476</v>
      </c>
      <c r="D5" s="8" t="s">
        <v>477</v>
      </c>
    </row>
    <row r="6" customFormat="false" ht="15" hidden="false" customHeight="false" outlineLevel="0" collapsed="false">
      <c r="A6" s="23" t="s">
        <v>78</v>
      </c>
      <c r="B6" s="23" t="s">
        <v>478</v>
      </c>
      <c r="C6" s="24" t="s">
        <v>417</v>
      </c>
      <c r="D6" s="24" t="s">
        <v>479</v>
      </c>
    </row>
    <row r="7" customFormat="false" ht="15" hidden="false" customHeight="false" outlineLevel="0" collapsed="false">
      <c r="A7" s="11" t="s">
        <v>480</v>
      </c>
      <c r="B7" s="11" t="s">
        <v>81</v>
      </c>
      <c r="C7" s="12" t="s">
        <v>481</v>
      </c>
      <c r="D7" s="12" t="s">
        <v>482</v>
      </c>
    </row>
    <row r="8" customFormat="false" ht="23.85" hidden="false" customHeight="false" outlineLevel="0" collapsed="false">
      <c r="A8" s="23" t="s">
        <v>483</v>
      </c>
      <c r="B8" s="23" t="s">
        <v>484</v>
      </c>
      <c r="C8" s="24" t="s">
        <v>485</v>
      </c>
      <c r="D8" s="24" t="s">
        <v>486</v>
      </c>
    </row>
    <row r="9" customFormat="false" ht="15" hidden="false" customHeight="false" outlineLevel="0" collapsed="false">
      <c r="A9" s="23" t="s">
        <v>487</v>
      </c>
      <c r="B9" s="23" t="s">
        <v>488</v>
      </c>
      <c r="C9" s="24" t="s">
        <v>489</v>
      </c>
      <c r="D9" s="24" t="s">
        <v>490</v>
      </c>
    </row>
    <row r="10" customFormat="false" ht="23.85" hidden="false" customHeight="false" outlineLevel="0" collapsed="false">
      <c r="A10" s="23" t="s">
        <v>491</v>
      </c>
      <c r="B10" s="23" t="s">
        <v>291</v>
      </c>
      <c r="C10" s="24" t="s">
        <v>291</v>
      </c>
      <c r="D10" s="24" t="s">
        <v>492</v>
      </c>
    </row>
    <row r="11" customFormat="false" ht="23.85" hidden="false" customHeight="false" outlineLevel="0" collapsed="false">
      <c r="A11" s="11" t="s">
        <v>493</v>
      </c>
      <c r="B11" s="11" t="s">
        <v>81</v>
      </c>
      <c r="C11" s="12" t="s">
        <v>494</v>
      </c>
      <c r="D11" s="12" t="s">
        <v>495</v>
      </c>
    </row>
    <row r="12" customFormat="false" ht="23.85" hidden="false" customHeight="false" outlineLevel="0" collapsed="false">
      <c r="A12" s="23" t="s">
        <v>496</v>
      </c>
      <c r="B12" s="23" t="s">
        <v>497</v>
      </c>
      <c r="C12" s="24" t="s">
        <v>498</v>
      </c>
      <c r="D12" s="24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500</v>
      </c>
    </row>
    <row r="2" customFormat="false" ht="15" hidden="false" customHeight="false" outlineLevel="0" collapsed="false">
      <c r="A2" s="5" t="s">
        <v>501</v>
      </c>
    </row>
    <row r="4" customFormat="false" ht="23.85" hidden="false" customHeight="false" outlineLevel="0" collapsed="false">
      <c r="A4" s="6" t="s">
        <v>502</v>
      </c>
      <c r="B4" s="6" t="s">
        <v>503</v>
      </c>
      <c r="C4" s="6" t="s">
        <v>504</v>
      </c>
      <c r="D4" s="6" t="s">
        <v>505</v>
      </c>
      <c r="E4" s="6" t="s">
        <v>506</v>
      </c>
      <c r="F4" s="6" t="s">
        <v>507</v>
      </c>
    </row>
    <row r="5" customFormat="false" ht="15" hidden="false" customHeight="false" outlineLevel="0" collapsed="false">
      <c r="A5" s="23" t="s">
        <v>508</v>
      </c>
      <c r="B5" s="23" t="s">
        <v>509</v>
      </c>
      <c r="C5" s="23" t="s">
        <v>306</v>
      </c>
      <c r="D5" s="27" t="s">
        <v>289</v>
      </c>
      <c r="E5" s="23" t="s">
        <v>289</v>
      </c>
      <c r="F5" s="24" t="s">
        <v>510</v>
      </c>
    </row>
    <row r="6" customFormat="false" ht="15" hidden="false" customHeight="false" outlineLevel="0" collapsed="false">
      <c r="A6" s="23" t="s">
        <v>511</v>
      </c>
      <c r="B6" s="23" t="s">
        <v>509</v>
      </c>
      <c r="C6" s="23" t="s">
        <v>340</v>
      </c>
      <c r="D6" s="28" t="s">
        <v>303</v>
      </c>
      <c r="E6" s="23" t="s">
        <v>289</v>
      </c>
      <c r="F6" s="24"/>
    </row>
    <row r="7" customFormat="false" ht="15" hidden="false" customHeight="false" outlineLevel="0" collapsed="false">
      <c r="A7" s="23" t="s">
        <v>512</v>
      </c>
      <c r="B7" s="23" t="s">
        <v>509</v>
      </c>
      <c r="C7" s="23" t="s">
        <v>340</v>
      </c>
      <c r="D7" s="28" t="s">
        <v>303</v>
      </c>
      <c r="E7" s="23" t="s">
        <v>289</v>
      </c>
      <c r="F7" s="24"/>
    </row>
    <row r="8" customFormat="false" ht="23.85" hidden="false" customHeight="false" outlineLevel="0" collapsed="false">
      <c r="A8" s="23" t="s">
        <v>513</v>
      </c>
      <c r="B8" s="23" t="s">
        <v>509</v>
      </c>
      <c r="C8" s="23" t="s">
        <v>340</v>
      </c>
      <c r="D8" s="28" t="s">
        <v>303</v>
      </c>
      <c r="E8" s="23" t="s">
        <v>289</v>
      </c>
      <c r="F8" s="24" t="s">
        <v>514</v>
      </c>
    </row>
    <row r="9" customFormat="false" ht="15" hidden="false" customHeight="false" outlineLevel="0" collapsed="false">
      <c r="A9" s="23" t="s">
        <v>515</v>
      </c>
      <c r="B9" s="23" t="s">
        <v>509</v>
      </c>
      <c r="C9" s="23" t="s">
        <v>340</v>
      </c>
      <c r="D9" s="28" t="s">
        <v>303</v>
      </c>
      <c r="E9" s="23" t="s">
        <v>289</v>
      </c>
      <c r="F9" s="24" t="s">
        <v>516</v>
      </c>
    </row>
    <row r="10" customFormat="false" ht="23.85" hidden="false" customHeight="false" outlineLevel="0" collapsed="false">
      <c r="A10" s="23" t="s">
        <v>517</v>
      </c>
      <c r="B10" s="23" t="s">
        <v>300</v>
      </c>
      <c r="C10" s="23" t="s">
        <v>291</v>
      </c>
      <c r="D10" s="28" t="s">
        <v>303</v>
      </c>
      <c r="E10" s="23" t="s">
        <v>289</v>
      </c>
      <c r="F10" s="24" t="s">
        <v>518</v>
      </c>
    </row>
    <row r="11" customFormat="false" ht="15" hidden="false" customHeight="false" outlineLevel="0" collapsed="false">
      <c r="A11" s="23" t="s">
        <v>519</v>
      </c>
      <c r="B11" s="23" t="s">
        <v>300</v>
      </c>
      <c r="C11" s="23" t="s">
        <v>291</v>
      </c>
      <c r="D11" s="28" t="s">
        <v>303</v>
      </c>
      <c r="E11" s="23" t="s">
        <v>289</v>
      </c>
      <c r="F11" s="24"/>
    </row>
    <row r="12" customFormat="false" ht="15" hidden="false" customHeight="false" outlineLevel="0" collapsed="false">
      <c r="A12" s="23" t="s">
        <v>520</v>
      </c>
      <c r="B12" s="23" t="s">
        <v>300</v>
      </c>
      <c r="C12" s="23" t="s">
        <v>291</v>
      </c>
      <c r="D12" s="28" t="s">
        <v>303</v>
      </c>
      <c r="E12" s="23" t="s">
        <v>289</v>
      </c>
      <c r="F12" s="24" t="s">
        <v>521</v>
      </c>
    </row>
    <row r="13" customFormat="false" ht="15" hidden="false" customHeight="false" outlineLevel="0" collapsed="false">
      <c r="A13" s="23" t="s">
        <v>522</v>
      </c>
      <c r="B13" s="23" t="s">
        <v>523</v>
      </c>
      <c r="C13" s="23" t="s">
        <v>524</v>
      </c>
      <c r="D13" s="28" t="s">
        <v>303</v>
      </c>
      <c r="E13" s="23" t="s">
        <v>525</v>
      </c>
      <c r="F13" s="24" t="s">
        <v>526</v>
      </c>
    </row>
    <row r="14" customFormat="false" ht="15" hidden="false" customHeight="false" outlineLevel="0" collapsed="false">
      <c r="A14" s="23" t="s">
        <v>527</v>
      </c>
      <c r="B14" s="23" t="s">
        <v>528</v>
      </c>
      <c r="C14" s="23" t="s">
        <v>524</v>
      </c>
      <c r="D14" s="28" t="s">
        <v>303</v>
      </c>
      <c r="E14" s="23" t="s">
        <v>529</v>
      </c>
      <c r="F14" s="24" t="s">
        <v>530</v>
      </c>
    </row>
    <row r="15" customFormat="false" ht="15" hidden="false" customHeight="false" outlineLevel="0" collapsed="false">
      <c r="A15" s="23" t="s">
        <v>531</v>
      </c>
      <c r="B15" s="23" t="s">
        <v>300</v>
      </c>
      <c r="C15" s="23" t="s">
        <v>291</v>
      </c>
      <c r="D15" s="28" t="s">
        <v>303</v>
      </c>
      <c r="E15" s="23" t="s">
        <v>525</v>
      </c>
      <c r="F15" s="24" t="s">
        <v>532</v>
      </c>
    </row>
    <row r="16" customFormat="false" ht="15" hidden="false" customHeight="false" outlineLevel="0" collapsed="false">
      <c r="A16" s="23" t="s">
        <v>533</v>
      </c>
      <c r="B16" s="23" t="s">
        <v>534</v>
      </c>
      <c r="C16" s="23" t="s">
        <v>335</v>
      </c>
      <c r="D16" s="28" t="s">
        <v>303</v>
      </c>
      <c r="E16" s="23" t="s">
        <v>535</v>
      </c>
      <c r="F16" s="24" t="s">
        <v>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2"/>
    <col collapsed="false" customWidth="true" hidden="false" outlineLevel="0" max="5" min="4" style="0" width="12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537</v>
      </c>
    </row>
    <row r="2" customFormat="false" ht="15" hidden="false" customHeight="false" outlineLevel="0" collapsed="false">
      <c r="A2" s="5" t="s">
        <v>538</v>
      </c>
    </row>
    <row r="4" customFormat="false" ht="15" hidden="false" customHeight="false" outlineLevel="0" collapsed="false">
      <c r="A4" s="6" t="s">
        <v>539</v>
      </c>
      <c r="B4" s="6" t="s">
        <v>540</v>
      </c>
      <c r="C4" s="6" t="s">
        <v>541</v>
      </c>
      <c r="D4" s="6" t="s">
        <v>283</v>
      </c>
      <c r="E4" s="6" t="s">
        <v>284</v>
      </c>
      <c r="F4" s="6" t="s">
        <v>286</v>
      </c>
    </row>
    <row r="5" customFormat="false" ht="15" hidden="false" customHeight="false" outlineLevel="0" collapsed="false">
      <c r="A5" s="23" t="s">
        <v>306</v>
      </c>
      <c r="B5" s="23" t="s">
        <v>542</v>
      </c>
      <c r="C5" s="23" t="s">
        <v>509</v>
      </c>
      <c r="D5" s="27" t="s">
        <v>289</v>
      </c>
      <c r="E5" s="27" t="s">
        <v>289</v>
      </c>
      <c r="F5" s="24" t="s">
        <v>543</v>
      </c>
    </row>
    <row r="6" customFormat="false" ht="15" hidden="false" customHeight="false" outlineLevel="0" collapsed="false">
      <c r="A6" s="23" t="s">
        <v>306</v>
      </c>
      <c r="B6" s="23" t="s">
        <v>517</v>
      </c>
      <c r="C6" s="23" t="s">
        <v>300</v>
      </c>
      <c r="D6" s="28" t="s">
        <v>303</v>
      </c>
      <c r="E6" s="27" t="s">
        <v>289</v>
      </c>
      <c r="F6" s="24"/>
    </row>
    <row r="7" customFormat="false" ht="15" hidden="false" customHeight="false" outlineLevel="0" collapsed="false">
      <c r="A7" s="23" t="s">
        <v>306</v>
      </c>
      <c r="B7" s="23" t="s">
        <v>513</v>
      </c>
      <c r="C7" s="23" t="s">
        <v>300</v>
      </c>
      <c r="D7" s="28" t="s">
        <v>303</v>
      </c>
      <c r="E7" s="27" t="s">
        <v>289</v>
      </c>
      <c r="F7" s="24" t="s">
        <v>544</v>
      </c>
    </row>
    <row r="8" customFormat="false" ht="15" hidden="false" customHeight="false" outlineLevel="0" collapsed="false">
      <c r="A8" s="23" t="s">
        <v>306</v>
      </c>
      <c r="B8" s="23" t="s">
        <v>522</v>
      </c>
      <c r="C8" s="23" t="s">
        <v>528</v>
      </c>
      <c r="D8" s="28" t="s">
        <v>303</v>
      </c>
      <c r="E8" s="28" t="s">
        <v>303</v>
      </c>
      <c r="F8" s="24" t="s">
        <v>545</v>
      </c>
    </row>
    <row r="9" customFormat="false" ht="15" hidden="false" customHeight="false" outlineLevel="0" collapsed="false">
      <c r="A9" s="23" t="s">
        <v>306</v>
      </c>
      <c r="B9" s="23" t="s">
        <v>527</v>
      </c>
      <c r="C9" s="23" t="s">
        <v>528</v>
      </c>
      <c r="D9" s="28" t="s">
        <v>303</v>
      </c>
      <c r="E9" s="28" t="s">
        <v>303</v>
      </c>
      <c r="F9" s="24" t="s">
        <v>546</v>
      </c>
    </row>
    <row r="10" customFormat="false" ht="15" hidden="false" customHeight="false" outlineLevel="0" collapsed="false">
      <c r="A10" s="23" t="s">
        <v>324</v>
      </c>
      <c r="B10" s="23" t="s">
        <v>542</v>
      </c>
      <c r="C10" s="23" t="s">
        <v>509</v>
      </c>
      <c r="D10" s="27" t="s">
        <v>289</v>
      </c>
      <c r="E10" s="27" t="s">
        <v>289</v>
      </c>
      <c r="F10" s="24"/>
    </row>
    <row r="11" customFormat="false" ht="15" hidden="false" customHeight="false" outlineLevel="0" collapsed="false">
      <c r="A11" s="23" t="s">
        <v>324</v>
      </c>
      <c r="B11" s="23" t="s">
        <v>517</v>
      </c>
      <c r="C11" s="23" t="s">
        <v>300</v>
      </c>
      <c r="D11" s="28" t="s">
        <v>303</v>
      </c>
      <c r="E11" s="27" t="s">
        <v>289</v>
      </c>
      <c r="F11" s="24"/>
    </row>
    <row r="12" customFormat="false" ht="15" hidden="false" customHeight="false" outlineLevel="0" collapsed="false">
      <c r="A12" s="23" t="s">
        <v>324</v>
      </c>
      <c r="B12" s="23" t="s">
        <v>513</v>
      </c>
      <c r="C12" s="23" t="s">
        <v>300</v>
      </c>
      <c r="D12" s="28" t="s">
        <v>303</v>
      </c>
      <c r="E12" s="27" t="s">
        <v>289</v>
      </c>
      <c r="F12" s="24" t="s">
        <v>544</v>
      </c>
    </row>
    <row r="13" customFormat="false" ht="15" hidden="false" customHeight="false" outlineLevel="0" collapsed="false">
      <c r="A13" s="23" t="s">
        <v>324</v>
      </c>
      <c r="B13" s="23" t="s">
        <v>522</v>
      </c>
      <c r="C13" s="23" t="s">
        <v>528</v>
      </c>
      <c r="D13" s="28" t="s">
        <v>303</v>
      </c>
      <c r="E13" s="28" t="s">
        <v>303</v>
      </c>
      <c r="F13" s="24" t="s">
        <v>545</v>
      </c>
    </row>
    <row r="14" customFormat="false" ht="15" hidden="false" customHeight="false" outlineLevel="0" collapsed="false">
      <c r="A14" s="23" t="s">
        <v>324</v>
      </c>
      <c r="B14" s="23" t="s">
        <v>527</v>
      </c>
      <c r="C14" s="23" t="s">
        <v>528</v>
      </c>
      <c r="D14" s="28" t="s">
        <v>303</v>
      </c>
      <c r="E14" s="27" t="s">
        <v>289</v>
      </c>
      <c r="F14" s="24" t="s">
        <v>547</v>
      </c>
    </row>
    <row r="15" customFormat="false" ht="15" hidden="false" customHeight="false" outlineLevel="0" collapsed="false">
      <c r="A15" s="23" t="s">
        <v>331</v>
      </c>
      <c r="B15" s="23" t="s">
        <v>542</v>
      </c>
      <c r="C15" s="23" t="s">
        <v>509</v>
      </c>
      <c r="D15" s="28" t="s">
        <v>303</v>
      </c>
      <c r="E15" s="27" t="s">
        <v>289</v>
      </c>
      <c r="F15" s="24" t="s">
        <v>548</v>
      </c>
    </row>
    <row r="16" customFormat="false" ht="15" hidden="false" customHeight="false" outlineLevel="0" collapsed="false">
      <c r="A16" s="23" t="s">
        <v>331</v>
      </c>
      <c r="B16" s="23" t="s">
        <v>517</v>
      </c>
      <c r="C16" s="23" t="s">
        <v>300</v>
      </c>
      <c r="D16" s="28" t="s">
        <v>303</v>
      </c>
      <c r="E16" s="27" t="s">
        <v>289</v>
      </c>
      <c r="F16" s="24"/>
    </row>
    <row r="17" customFormat="false" ht="15" hidden="false" customHeight="false" outlineLevel="0" collapsed="false">
      <c r="A17" s="23" t="s">
        <v>331</v>
      </c>
      <c r="B17" s="23" t="s">
        <v>513</v>
      </c>
      <c r="C17" s="23" t="s">
        <v>300</v>
      </c>
      <c r="D17" s="28" t="s">
        <v>303</v>
      </c>
      <c r="E17" s="27" t="s">
        <v>289</v>
      </c>
      <c r="F17" s="24" t="s">
        <v>544</v>
      </c>
    </row>
    <row r="18" customFormat="false" ht="15" hidden="false" customHeight="false" outlineLevel="0" collapsed="false">
      <c r="A18" s="23" t="s">
        <v>331</v>
      </c>
      <c r="B18" s="23" t="s">
        <v>522</v>
      </c>
      <c r="C18" s="23" t="s">
        <v>528</v>
      </c>
      <c r="D18" s="28" t="s">
        <v>303</v>
      </c>
      <c r="E18" s="28" t="s">
        <v>303</v>
      </c>
      <c r="F18" s="24" t="s">
        <v>545</v>
      </c>
    </row>
    <row r="19" customFormat="false" ht="15" hidden="false" customHeight="false" outlineLevel="0" collapsed="false">
      <c r="A19" s="23" t="s">
        <v>331</v>
      </c>
      <c r="B19" s="23" t="s">
        <v>527</v>
      </c>
      <c r="C19" s="23" t="s">
        <v>528</v>
      </c>
      <c r="D19" s="28" t="s">
        <v>303</v>
      </c>
      <c r="E19" s="27" t="s">
        <v>289</v>
      </c>
      <c r="F19" s="24" t="s">
        <v>549</v>
      </c>
    </row>
    <row r="20" customFormat="false" ht="15" hidden="false" customHeight="false" outlineLevel="0" collapsed="false">
      <c r="A20" s="23" t="s">
        <v>335</v>
      </c>
      <c r="B20" s="23" t="s">
        <v>542</v>
      </c>
      <c r="C20" s="23" t="s">
        <v>509</v>
      </c>
      <c r="D20" s="28" t="s">
        <v>303</v>
      </c>
      <c r="E20" s="27" t="s">
        <v>289</v>
      </c>
      <c r="F20" s="24" t="s">
        <v>550</v>
      </c>
    </row>
    <row r="21" customFormat="false" ht="15" hidden="false" customHeight="false" outlineLevel="0" collapsed="false">
      <c r="A21" s="23" t="s">
        <v>335</v>
      </c>
      <c r="B21" s="23" t="s">
        <v>517</v>
      </c>
      <c r="C21" s="23" t="s">
        <v>509</v>
      </c>
      <c r="D21" s="28" t="s">
        <v>303</v>
      </c>
      <c r="E21" s="27" t="s">
        <v>289</v>
      </c>
      <c r="F21" s="24" t="s">
        <v>338</v>
      </c>
    </row>
    <row r="22" customFormat="false" ht="15" hidden="false" customHeight="false" outlineLevel="0" collapsed="false">
      <c r="A22" s="23" t="s">
        <v>335</v>
      </c>
      <c r="B22" s="23" t="s">
        <v>513</v>
      </c>
      <c r="C22" s="23" t="s">
        <v>509</v>
      </c>
      <c r="D22" s="28" t="s">
        <v>303</v>
      </c>
      <c r="E22" s="27" t="s">
        <v>289</v>
      </c>
      <c r="F22" s="24" t="s">
        <v>544</v>
      </c>
    </row>
    <row r="23" customFormat="false" ht="15" hidden="false" customHeight="false" outlineLevel="0" collapsed="false">
      <c r="A23" s="23" t="s">
        <v>335</v>
      </c>
      <c r="B23" s="23" t="s">
        <v>522</v>
      </c>
      <c r="C23" s="23" t="s">
        <v>509</v>
      </c>
      <c r="D23" s="28" t="s">
        <v>303</v>
      </c>
      <c r="E23" s="28" t="s">
        <v>303</v>
      </c>
      <c r="F23" s="24" t="s">
        <v>551</v>
      </c>
    </row>
    <row r="24" customFormat="false" ht="15" hidden="false" customHeight="false" outlineLevel="0" collapsed="false">
      <c r="A24" s="23" t="s">
        <v>335</v>
      </c>
      <c r="B24" s="23" t="s">
        <v>527</v>
      </c>
      <c r="C24" s="23" t="s">
        <v>509</v>
      </c>
      <c r="D24" s="28" t="s">
        <v>303</v>
      </c>
      <c r="E24" s="27" t="s">
        <v>289</v>
      </c>
      <c r="F24" s="24"/>
    </row>
    <row r="25" customFormat="false" ht="15" hidden="false" customHeight="false" outlineLevel="0" collapsed="false">
      <c r="A25" s="23" t="s">
        <v>340</v>
      </c>
      <c r="B25" s="23" t="s">
        <v>542</v>
      </c>
      <c r="C25" s="23" t="s">
        <v>509</v>
      </c>
      <c r="D25" s="27" t="s">
        <v>289</v>
      </c>
      <c r="E25" s="27" t="s">
        <v>289</v>
      </c>
      <c r="F25" s="24" t="s">
        <v>552</v>
      </c>
    </row>
    <row r="26" customFormat="false" ht="15" hidden="false" customHeight="false" outlineLevel="0" collapsed="false">
      <c r="A26" s="23" t="s">
        <v>340</v>
      </c>
      <c r="B26" s="23" t="s">
        <v>517</v>
      </c>
      <c r="C26" s="23" t="s">
        <v>300</v>
      </c>
      <c r="D26" s="28" t="s">
        <v>303</v>
      </c>
      <c r="E26" s="27" t="s">
        <v>289</v>
      </c>
      <c r="F26" s="24"/>
    </row>
    <row r="27" customFormat="false" ht="15" hidden="false" customHeight="false" outlineLevel="0" collapsed="false">
      <c r="A27" s="23" t="s">
        <v>340</v>
      </c>
      <c r="B27" s="23" t="s">
        <v>513</v>
      </c>
      <c r="C27" s="23" t="s">
        <v>509</v>
      </c>
      <c r="D27" s="28" t="s">
        <v>303</v>
      </c>
      <c r="E27" s="27" t="s">
        <v>289</v>
      </c>
      <c r="F27" s="24" t="s">
        <v>553</v>
      </c>
    </row>
    <row r="28" customFormat="false" ht="15" hidden="false" customHeight="false" outlineLevel="0" collapsed="false">
      <c r="A28" s="23" t="s">
        <v>340</v>
      </c>
      <c r="B28" s="23" t="s">
        <v>522</v>
      </c>
      <c r="C28" s="23" t="s">
        <v>528</v>
      </c>
      <c r="D28" s="28" t="s">
        <v>303</v>
      </c>
      <c r="E28" s="28" t="s">
        <v>303</v>
      </c>
      <c r="F28" s="24" t="s">
        <v>545</v>
      </c>
    </row>
    <row r="29" customFormat="false" ht="15" hidden="false" customHeight="false" outlineLevel="0" collapsed="false">
      <c r="A29" s="23" t="s">
        <v>340</v>
      </c>
      <c r="B29" s="23" t="s">
        <v>527</v>
      </c>
      <c r="C29" s="23" t="s">
        <v>528</v>
      </c>
      <c r="D29" s="28" t="s">
        <v>303</v>
      </c>
      <c r="E29" s="27" t="s">
        <v>289</v>
      </c>
      <c r="F29" s="24"/>
    </row>
    <row r="30" customFormat="false" ht="15" hidden="false" customHeight="false" outlineLevel="0" collapsed="false">
      <c r="A30" s="23" t="s">
        <v>345</v>
      </c>
      <c r="B30" s="23" t="s">
        <v>542</v>
      </c>
      <c r="C30" s="23" t="s">
        <v>509</v>
      </c>
      <c r="D30" s="27" t="s">
        <v>289</v>
      </c>
      <c r="E30" s="27" t="s">
        <v>289</v>
      </c>
      <c r="F30" s="24" t="s">
        <v>346</v>
      </c>
    </row>
    <row r="31" customFormat="false" ht="15" hidden="false" customHeight="false" outlineLevel="0" collapsed="false">
      <c r="A31" s="23" t="s">
        <v>345</v>
      </c>
      <c r="B31" s="23" t="s">
        <v>517</v>
      </c>
      <c r="C31" s="23" t="s">
        <v>300</v>
      </c>
      <c r="D31" s="28" t="s">
        <v>303</v>
      </c>
      <c r="E31" s="27" t="s">
        <v>289</v>
      </c>
      <c r="F31" s="24"/>
    </row>
    <row r="32" customFormat="false" ht="15" hidden="false" customHeight="false" outlineLevel="0" collapsed="false">
      <c r="A32" s="23" t="s">
        <v>345</v>
      </c>
      <c r="B32" s="23" t="s">
        <v>513</v>
      </c>
      <c r="C32" s="23" t="s">
        <v>509</v>
      </c>
      <c r="D32" s="28" t="s">
        <v>303</v>
      </c>
      <c r="E32" s="27" t="s">
        <v>289</v>
      </c>
      <c r="F32" s="24" t="s">
        <v>553</v>
      </c>
    </row>
    <row r="33" customFormat="false" ht="15" hidden="false" customHeight="false" outlineLevel="0" collapsed="false">
      <c r="A33" s="23" t="s">
        <v>345</v>
      </c>
      <c r="B33" s="23" t="s">
        <v>522</v>
      </c>
      <c r="C33" s="23" t="s">
        <v>528</v>
      </c>
      <c r="D33" s="28" t="s">
        <v>303</v>
      </c>
      <c r="E33" s="28" t="s">
        <v>303</v>
      </c>
      <c r="F33" s="24" t="s">
        <v>545</v>
      </c>
    </row>
    <row r="34" customFormat="false" ht="15" hidden="false" customHeight="false" outlineLevel="0" collapsed="false">
      <c r="A34" s="23" t="s">
        <v>345</v>
      </c>
      <c r="B34" s="23" t="s">
        <v>527</v>
      </c>
      <c r="C34" s="23" t="s">
        <v>528</v>
      </c>
      <c r="D34" s="28" t="s">
        <v>303</v>
      </c>
      <c r="E34" s="27" t="s">
        <v>289</v>
      </c>
      <c r="F34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554</v>
      </c>
    </row>
    <row r="2" customFormat="false" ht="15" hidden="false" customHeight="false" outlineLevel="0" collapsed="false">
      <c r="A2" s="5" t="s">
        <v>555</v>
      </c>
    </row>
    <row r="4" customFormat="false" ht="15" hidden="false" customHeight="false" outlineLevel="0" collapsed="false">
      <c r="A4" s="29" t="s">
        <v>556</v>
      </c>
      <c r="B4" s="30" t="s">
        <v>557</v>
      </c>
    </row>
    <row r="5" customFormat="false" ht="15" hidden="false" customHeight="false" outlineLevel="0" collapsed="false">
      <c r="A5" s="31" t="s">
        <v>558</v>
      </c>
      <c r="B5" s="32" t="n">
        <f aca="false">COUNTA('Master — Phone Silicon'!A5:A100)</f>
        <v>31</v>
      </c>
    </row>
    <row r="7" customFormat="false" ht="15" hidden="false" customHeight="false" outlineLevel="0" collapsed="false">
      <c r="A7" s="31" t="s">
        <v>559</v>
      </c>
      <c r="B7" s="32" t="n">
        <f aca="false">COUNTIF('Master — Phone Silicon'!G5:G100,"*Qualcomm*")</f>
        <v>22</v>
      </c>
    </row>
    <row r="8" customFormat="false" ht="15" hidden="false" customHeight="false" outlineLevel="0" collapsed="false">
      <c r="A8" s="31" t="s">
        <v>560</v>
      </c>
      <c r="B8" s="32" t="n">
        <f aca="false">COUNTIF('Master — Phone Silicon'!G5:G100,"*Intel*")</f>
        <v>4</v>
      </c>
    </row>
    <row r="9" customFormat="false" ht="15" hidden="false" customHeight="false" outlineLevel="0" collapsed="false">
      <c r="A9" s="31" t="s">
        <v>561</v>
      </c>
      <c r="B9" s="32" t="n">
        <f aca="false">COUNTIF('Master — Phone Silicon'!G5:G100,"*Infineon*")</f>
        <v>4</v>
      </c>
    </row>
    <row r="10" customFormat="false" ht="15" hidden="false" customHeight="false" outlineLevel="0" collapsed="false">
      <c r="A10" s="31" t="s">
        <v>562</v>
      </c>
      <c r="B10" s="32" t="n">
        <f aca="false">COUNTIF('Master — Phone Silicon'!G5:G100,"*Apple*")</f>
        <v>4</v>
      </c>
    </row>
    <row r="12" customFormat="false" ht="15" hidden="false" customHeight="false" outlineLevel="0" collapsed="false">
      <c r="A12" s="31" t="s">
        <v>563</v>
      </c>
      <c r="B12" s="32" t="n">
        <f aca="false">COUNTIF('Master — Phone Silicon'!K5:K100,"30-pin")</f>
        <v>5</v>
      </c>
    </row>
    <row r="13" customFormat="false" ht="15" hidden="false" customHeight="false" outlineLevel="0" collapsed="false">
      <c r="A13" s="31" t="s">
        <v>564</v>
      </c>
      <c r="B13" s="32" t="n">
        <f aca="false">COUNTIF('Master — Phone Silicon'!K5:K100,"Lightning")</f>
        <v>16</v>
      </c>
    </row>
    <row r="14" customFormat="false" ht="15" hidden="false" customHeight="false" outlineLevel="0" collapsed="false">
      <c r="A14" s="31" t="s">
        <v>565</v>
      </c>
      <c r="B14" s="32" t="n">
        <f aca="false">COUNTIF('Master — Phone Silicon'!K5:K100,"USB-C")</f>
        <v>10</v>
      </c>
    </row>
    <row r="16" customFormat="false" ht="15" hidden="false" customHeight="false" outlineLevel="0" collapsed="false">
      <c r="A16" s="31" t="s">
        <v>566</v>
      </c>
      <c r="B16" s="32" t="n">
        <f aca="false">COUNTIF('Master — Phone Silicon'!I5:I100,"5G*")</f>
        <v>15</v>
      </c>
    </row>
    <row r="17" customFormat="false" ht="15" hidden="false" customHeight="false" outlineLevel="0" collapsed="false">
      <c r="A17" s="31" t="s">
        <v>567</v>
      </c>
      <c r="B17" s="32" t="n">
        <f aca="false">COUNTIF('Master — Phone Silicon'!I5:I100,"4G*")+COUNTIF('Master — Phone Silicon'!I5:I100,"LTE*")+COUNTIF('Master — Phone Silicon'!I5:I100,"Gigabit*")</f>
        <v>11</v>
      </c>
    </row>
    <row r="18" customFormat="false" ht="15" hidden="false" customHeight="false" outlineLevel="0" collapsed="false">
      <c r="A18" s="31" t="s">
        <v>568</v>
      </c>
      <c r="B18" s="32" t="n">
        <f aca="false">COUNTIF('Master — Phone Silicon'!I5:I100,"3G*")</f>
        <v>4</v>
      </c>
    </row>
    <row r="19" customFormat="false" ht="15" hidden="false" customHeight="false" outlineLevel="0" collapsed="false">
      <c r="A19" s="31" t="s">
        <v>569</v>
      </c>
      <c r="B19" s="32" t="n">
        <f aca="false">COUNTIF('Master — Phone Silicon'!I5:I100,"2G*")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2026-05-30T19:54:56Z</dcterms:created>
  <dc:creator>openpyxl</dc:creator>
  <dc:description/>
  <dc:language>en-US</dc:language>
  <cp:lastModifiedBy/>
  <dcterms:modified xsi:type="dcterms:W3CDTF">2026-05-30T19:54:57Z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